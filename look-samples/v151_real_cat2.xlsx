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setup'!$A1:$H11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'_Lists'!$A1:$F94</definedName>
    <definedName name="_xlnm.Print_Titles" localSheetId="10">'_Lists'!$6:$6</definedName>
  </definedNames>
  <calcPr calcId="171027" fullCalcOnLoad="1"/>
</workbook>
</file>

<file path=xl/sharedStrings.xml><?xml version="1.0" encoding="utf-8"?>
<sst xmlns="http://schemas.openxmlformats.org/spreadsheetml/2006/main" count="896" uniqueCount="280">
  <si>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</si>
  <si>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</si>
  <si>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</si>
  <si>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</si>
  <si>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</si>
  <si>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</si>
  <si>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</si>
  <si>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</si>
  <si>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</si>
  <si>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</si>
  <si>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</si>
  <si>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</si>
  <si>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</si>
  <si>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</si>
  <si>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</si>
  <si>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</si>
  <si>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</si>
  <si>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</si>
  <si>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</si>
  <si>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</si>
  <si>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</si>
  <si>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</si>
  <si>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</si>
  <si>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</si>
  <si>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</si>
  <si>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OT pick</t>
  </si>
  <si>
    <t>Pre-Turnaround</t>
  </si>
  <si>
    <t>YES</t>
  </si>
  <si>
    <t>5×8 — OT after 8 hours</t>
  </si>
  <si>
    <t>pre</t>
  </si>
  <si>
    <t>Oil Out</t>
  </si>
  <si>
    <t>OFF</t>
  </si>
  <si>
    <t>NO</t>
  </si>
  <si>
    <t/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</si>
  <si>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</si>
  <si>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</si>
  <si>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</si>
  <si>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</si>
  <si>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</si>
  <si>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</si>
  <si>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</si>
  <si>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</si>
  <si>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</si>
  <si>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</si>
  <si>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</si>
  <si>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</si>
  <si>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</si>
  <si>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</si>
  <si>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</si>
  <si>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</si>
  <si>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</si>
  <si>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</si>
  <si>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</si>
  <si>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</si>
  <si>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</si>
  <si>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</si>
  <si>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</si>
  <si>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</si>
  <si>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</si>
  <si>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</si>
  <si>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</si>
  <si>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</si>
  <si>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</si>
  <si>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</si>
  <si>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</si>
  <si>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</si>
  <si>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</si>
  <si>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</si>
  <si>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</si>
  <si>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</si>
  <si>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</si>
  <si>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</si>
  <si>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</si>
  <si>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</si>
  <si>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</si>
  <si>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</si>
  <si>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</si>
  <si>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</si>
  <si>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</si>
  <si>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</si>
  <si>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</si>
  <si>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</si>
  <si>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</si>
  <si>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</si>
  <si>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</si>
  <si>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</si>
  <si>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</si>
  <si>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</si>
  <si>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</si>
  <si>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</si>
  <si>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</si>
  <si>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</si>
  <si>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</si>
  <si>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</si>
  <si>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</si>
  <si>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</si>
  <si>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</si>
  <si>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</si>
  <si>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</si>
  <si>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</si>
  <si>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</si>
  <si>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</si>
  <si>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</si>
  <si>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</si>
  <si>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</si>
  <si>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</si>
  <si>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</si>
  <si>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</si>
  <si>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</si>
  <si>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</si>
  <si>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</si>
  <si>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</si>
  <si>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</si>
  <si>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</si>
  <si>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</si>
  <si>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</si>
  <si>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</si>
  <si>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</si>
  <si>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</si>
  <si>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</si>
  <si>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</si>
  <si>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</si>
  <si>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</si>
  <si>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</si>
  <si>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</si>
  <si>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</si>
  <si>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</si>
  <si>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</si>
  <si>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</si>
  <si>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</si>
  <si>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</si>
  <si>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</si>
  <si>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</si>
  <si>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</si>
  <si>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</si>
  <si>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</si>
  <si>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</si>
  <si>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</si>
  <si>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</si>
  <si>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</si>
  <si>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</si>
  <si>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</si>
  <si>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</si>
  <si>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</si>
  <si>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</si>
  <si>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</si>
  <si>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</si>
  <si>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</si>
  <si>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</si>
  <si>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</si>
  <si>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</si>
  <si>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</si>
  <si>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</si>
  <si>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</si>
  <si>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</si>
  <si>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</si>
  <si>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</si>
  <si>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</si>
  <si>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</si>
  <si>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</si>
  <si>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</si>
  <si>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</si>
  <si>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</si>
  <si>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</si>
  <si>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</si>
  <si>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</si>
  <si>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</si>
  <si>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</si>
  <si>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</si>
  <si>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</si>
  <si>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</si>
  <si>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</si>
  <si>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</si>
  <si>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</si>
  <si>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</si>
  <si>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</si>
  <si>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</si>
  <si>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</si>
  <si>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</si>
  <si>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</si>
  <si>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</si>
  <si>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</si>
  <si>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</si>
  <si>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</si>
  <si>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</si>
  <si>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</si>
  <si>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</si>
  <si>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</si>
  <si>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</si>
  <si>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</si>
  <si>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</si>
  <si>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</si>
  <si>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</si>
  <si>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</si>
  <si>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</si>
  <si>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</si>
  <si>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</si>
  <si>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</si>
  <si>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</si>
  <si>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</si>
  <si>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</si>
  <si>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</si>
  <si>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</si>
  <si>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</si>
  <si>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</si>
  <si>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</si>
  <si>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</si>
  <si>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</si>
  <si>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</si>
  <si>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</si>
  <si>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</si>
  <si>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</si>
  <si>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</si>
  <si>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</si>
  <si>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</si>
  <si>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</si>
  <si>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</si>
  <si>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</si>
  <si>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</si>
  <si>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</si>
  <si>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</si>
  <si>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</si>
  <si>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</si>
  <si>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</si>
  <si>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</si>
  <si>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</si>
  <si>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</si>
  <si>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</si>
  <si>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</si>
  <si>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</si>
  <si>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</si>
  <si>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</si>
  <si>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</si>
  <si>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</si>
  <si>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</si>
  <si>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</si>
  <si>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</si>
  <si>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</si>
  <si>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</si>
  <si>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</si>
  <si>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</si>
  <si>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</si>
  <si>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</si>
  <si>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</si>
  <si>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</si>
  <si>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</si>
  <si>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</si>
  <si>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</si>
  <si>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</si>
  <si>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</si>
  <si>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</si>
  <si>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</si>
  <si>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</si>
  <si>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</si>
  <si>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</si>
  <si>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</si>
  <si>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</si>
  <si>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</si>
  <si>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</si>
  <si>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</si>
  <si>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</si>
  <si>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</si>
  <si>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</si>
  <si>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</si>
  <si>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</si>
  <si>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</si>
  <si>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</si>
  <si>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</si>
  <si>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</si>
  <si>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</si>
  <si>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</si>
  <si>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</si>
  <si>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</si>
  <si>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</si>
  <si>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</si>
  <si>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</si>
  <si>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</si>
  <si>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</si>
  <si>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4×10 — all 10 ST</t>
  </si>
  <si>
    <t>4×10 — OT after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</si>
</sst>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8" width="11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</row>
    <row r="7" ht="16" customHeight="1" spans="1:9" x14ac:dyDescent="0.25">
      <c r="A7" s="12" t="s">
        <v>26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27</v>
      </c>
      <c r="H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31</v>
      </c>
      <c r="C8" s="31">
        <v>46287</v>
      </c>
      <c r="D8" s="31">
        <v>46289</v>
      </c>
      <c r="E8" s="30">
        <v>7</v>
      </c>
      <c r="F8" s="32">
        <v>12</v>
      </c>
      <c r="G8" s="30" t="s">
        <v>32</v>
      </c>
      <c r="H8" s="30" t="s">
        <v>33</v>
      </c>
      <c r="I8" s="28" t="s">
        <v>34</v>
      </c>
    </row>
    <row r="9" ht="16" customHeight="1" spans="1:9" x14ac:dyDescent="0.25">
      <c r="A9" s="12" t="s">
        <v>35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32</v>
      </c>
      <c r="H9" s="25" t="s">
        <v>33</v>
      </c>
      <c r="I9" s="28" t="s">
        <v>36</v>
      </c>
    </row>
    <row r="10" ht="16" customHeight="1" spans="1:9" x14ac:dyDescent="0.25">
      <c r="A10" s="29" t="s">
        <v>37</v>
      </c>
      <c r="B10" s="30" t="s">
        <v>31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32</v>
      </c>
      <c r="H10" s="30" t="s">
        <v>33</v>
      </c>
      <c r="I10" s="28" t="s">
        <v>38</v>
      </c>
    </row>
    <row r="11" ht="16" customHeight="1" spans="1:9" x14ac:dyDescent="0.25">
      <c r="A11" s="12" t="s">
        <v>39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27</v>
      </c>
      <c r="H11" s="25" t="s">
        <v>28</v>
      </c>
      <c r="I11" s="28" t="s">
        <v>40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H11">
      <formula1>=_Lists!$F$1:$F$4</formula1>
    </dataValidation>
    <dataValidation type="list" allowBlank="1" sqref="H7">
      <formula1>=_Lists!$F$1:$F$4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26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35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39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41</v>
      </c>
      <c r="L5" s="40" t="s">
        <v>42</v>
      </c>
      <c r="M5" s="40" t="s">
        <v>43</v>
      </c>
      <c r="N5" s="40" t="s">
        <v>44</v>
      </c>
      <c r="O5" s="40" t="s">
        <v>45</v>
      </c>
      <c r="P5" s="40" t="s">
        <v>46</v>
      </c>
      <c r="Q5" s="40" t="s">
        <v>47</v>
      </c>
      <c r="R5" s="40" t="s">
        <v>41</v>
      </c>
      <c r="S5" s="40" t="s">
        <v>42</v>
      </c>
      <c r="T5" s="40" t="s">
        <v>43</v>
      </c>
      <c r="U5" s="40" t="s">
        <v>44</v>
      </c>
      <c r="V5" s="40" t="s">
        <v>45</v>
      </c>
      <c r="W5" s="40" t="s">
        <v>46</v>
      </c>
      <c r="X5" s="40" t="s">
        <v>47</v>
      </c>
      <c r="Y5" s="40" t="s">
        <v>41</v>
      </c>
      <c r="Z5" s="40" t="s">
        <v>42</v>
      </c>
      <c r="AA5" s="40" t="s">
        <v>43</v>
      </c>
      <c r="AB5" s="40" t="s">
        <v>44</v>
      </c>
      <c r="AC5" s="40" t="s">
        <v>45</v>
      </c>
      <c r="AD5" s="40" t="s">
        <v>46</v>
      </c>
      <c r="AE5" s="40" t="s">
        <v>47</v>
      </c>
      <c r="AF5" s="40" t="s">
        <v>41</v>
      </c>
      <c r="AG5" s="40" t="s">
        <v>42</v>
      </c>
      <c r="AH5" s="40" t="s">
        <v>43</v>
      </c>
      <c r="AI5" s="40" t="s">
        <v>44</v>
      </c>
      <c r="AJ5" s="40" t="s">
        <v>45</v>
      </c>
      <c r="AK5" s="40" t="s">
        <v>46</v>
      </c>
      <c r="AL5" s="40" t="s">
        <v>47</v>
      </c>
      <c r="AM5" s="40" t="s">
        <v>41</v>
      </c>
      <c r="AN5" s="40" t="s">
        <v>42</v>
      </c>
      <c r="AO5" s="40" t="s">
        <v>43</v>
      </c>
      <c r="AP5" s="40" t="s">
        <v>44</v>
      </c>
    </row>
    <row r="6" ht="22" customHeight="1" spans="1:42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57</v>
      </c>
      <c r="B7" s="44" t="s">
        <v>58</v>
      </c>
      <c r="C7" s="45">
        <f>J7</f>
        <v>35365.28</v>
      </c>
      <c r="D7" s="46"/>
      <c r="E7" s="46"/>
      <c r="F7" s="47">
        <f>SUM(K10:AP10)</f>
        <v>212</v>
      </c>
      <c r="G7" s="47">
        <f>SUM(K11:AP11)</f>
        <v>44</v>
      </c>
      <c r="H7" s="47">
        <f>SUM(K12:AP12)</f>
        <v>24</v>
      </c>
      <c r="I7" s="47">
        <f>SUM(K13:AP13)</f>
        <v>22</v>
      </c>
      <c r="J7" s="48">
        <f>C10+C11+C12</f>
        <v>35365.28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59</v>
      </c>
    </row>
    <row r="8" ht="16" customHeight="1" spans="1:411" x14ac:dyDescent="0.25">
      <c r="A8" s="43"/>
      <c r="B8" s="44"/>
      <c r="C8" s="45"/>
      <c r="D8" s="46"/>
      <c r="E8" s="53" t="s">
        <v>60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59</v>
      </c>
    </row>
    <row r="9" ht="16" customHeight="1" spans="1:411" x14ac:dyDescent="0.25">
      <c r="A9" s="43"/>
      <c r="B9" s="44"/>
      <c r="C9" s="45"/>
      <c r="D9" s="46"/>
      <c r="E9" s="53" t="s">
        <v>61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59</v>
      </c>
    </row>
    <row r="10" ht="16" customHeight="1" spans="1:411" x14ac:dyDescent="0.25">
      <c r="A10" s="43"/>
      <c r="B10" s="44"/>
      <c r="C10" s="59">
        <f>F7*N(D10)</f>
        <v>23674.04</v>
      </c>
      <c r="D10" s="59">
        <f>IF(TRIM(B7)="","No rate",IFERROR(INDEX('Rate Tables'!C$7:C$161,MATCH(B7,'Rate Tables'!A$7:A$161,0)),"No rate"))</f>
        <v>111.67</v>
      </c>
      <c r="E10" s="53" t="s">
        <v>62</v>
      </c>
      <c r="F10" s="47"/>
      <c r="G10" s="47"/>
      <c r="H10" s="47"/>
      <c r="I10" s="47"/>
      <c r="J10" s="48"/>
      <c r="K10" s="60">
        <f>IF(AND(K8=1,K9=8,AND(IFERROR(INDEX('Job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8"),FALSE))))),8,10),K9)*K8)),MAX(0,40*MAX(1,K8)-(0))))</f>
        <v>8</v>
      </c>
      <c r="L10" s="61">
        <f>IF(AND(L8=1,L9=8,AND(IFERROR(INDEX('Job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8"),FALSE))))),8,10),L9)*L8)),MAX(0,40*MAX(1,L8)-(K10))))</f>
        <v>8</v>
      </c>
      <c r="M10" s="61">
        <f>IF(AND(M8=1,M9=8,AND(IFERROR(INDEX('Job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8"),FALSE))))),8,10),M9)*M8)),MAX(0,40*MAX(1,M8)-(K10+L10))))</f>
        <v>8</v>
      </c>
      <c r="N10" s="61">
        <f>IF(AND(N8=1,N9=8,AND(IFERROR(INDEX('Job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8"),FALSE))))),8,10),N9)*N8)),MAX(0,40*MAX(1,N8)-(K10+L10+M10))))</f>
        <v>8</v>
      </c>
      <c r="O10" s="61">
        <f>IF(AND(O8=1,O9=8,AND(IFERROR(INDEX('Job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8"),FALSE))))),8,10),O9)*O8)),MAX(0,40*MAX(1,O8)-(K10+L10+M10+N10))))</f>
        <v>8</v>
      </c>
      <c r="P10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8"),FALSE))))),8,10),P9)*P8)),MAX(0,40*MAX(1,P8)-(0))))</f>
        <v>0</v>
      </c>
      <c r="Q10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8"),FALSE))))),8,10),Q9)*Q8)),MAX(0,40*MAX(1,Q8)-(P10))))</f>
        <v>0</v>
      </c>
      <c r="R10" s="61">
        <f>IF(AND(R8=1,R9=8,AND(IFERROR(INDEX('Job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8"),FALSE))))),8,10),R9)*R8)),MAX(0,40*MAX(1,R8)-(0))))</f>
        <v>8</v>
      </c>
      <c r="S10" s="61">
        <f>IF(AND(S8=1,S9=8,AND(IFERROR(INDEX('Job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8"),FALSE))))),8,10),S9)*S8)),MAX(0,40*MAX(1,S8)-(R10))))</f>
        <v>8</v>
      </c>
      <c r="T10" s="61">
        <f>IF(AND(T8=1,T9=8,AND(IFERROR(INDEX('Job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8"),FALSE))))),8,10),T9)*T8)),MAX(0,40*MAX(1,T8)-(R10+S10))))</f>
        <v>8</v>
      </c>
      <c r="U10" s="61">
        <f>IF(AND(U8=1,U9=12,AND(IFERROR(INDEX('Job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setup'!I$7:I$11,0)),"")=0))),10,MIN(IF(OR(U8&lt;=0,NOT(OR(AND(IFERROR(INDEX('Job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8"),FALSE))))),8,10),U9)*U8)),MAX(0,40*MAX(1,U8)-(0))))</f>
        <v>10</v>
      </c>
      <c r="V10" s="61">
        <f>IF(AND(V8=1,V9=12,AND(IFERROR(INDEX('Job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setup'!I$7:I$11,0)),"")=0))),10,MIN(IF(OR(V8&lt;=0,NOT(OR(AND(IFERROR(INDEX('Job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8"),FALSE))))),8,10),V9)*V8)),MAX(0,40*MAX(1,V8)-(U10))))</f>
        <v>10</v>
      </c>
      <c r="W10" s="62">
        <f>IF(AND(W8=1,W9=12,AND(IFERROR(INDEX('Job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setup'!I$7:I$11,0)),"")=0))),10,MIN(IF(OR(W8&lt;=0,NOT(OR(AND(IFERROR(INDEX('Job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8"),FALSE))))),8,10),W9)*W8)),MAX(0,40*MAX(1,W8)-(U10+V10))))</f>
        <v>10</v>
      </c>
      <c r="X10" s="62">
        <f>IF(AND(X8=1,X9=12,AND(IFERROR(INDEX('Job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8"),FALSE))))),8,10),X9)*X8)),MAX(0,40*MAX(1,X8)-(U10+V10+W10))))</f>
        <v>0</v>
      </c>
      <c r="Y10" s="61">
        <f>IF(AND(Y8=1,Y9=12,AND(IFERROR(INDEX('Job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setup'!I$7:I$11,0)),"")=0))),10,MIN(IF(OR(Y8&lt;=0,NOT(OR(AND(IFERROR(INDEX('Job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8"),FALSE))))),8,10),Y9)*Y8)),MAX(0,40*MAX(1,Y8)-(0))))</f>
        <v>10</v>
      </c>
      <c r="Z10" s="61">
        <f>IF(AND(Z8=1,Z9=12,AND(IFERROR(INDEX('Job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setup'!I$7:I$11,0)),"")=0))),10,MIN(IF(OR(Z8&lt;=0,NOT(OR(AND(IFERROR(INDEX('Job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8"),FALSE))))),8,10),Z9)*Z8)),MAX(0,40*MAX(1,Z8)-(Y10))))</f>
        <v>10</v>
      </c>
      <c r="AA10" s="61">
        <f>IF(AND(AA8=1,AA9=12,AND(IFERROR(INDEX('Job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setup'!I$7:I$11,0)),"")=0))),10,MIN(IF(OR(AA8&lt;=0,NOT(OR(AND(IFERROR(INDEX('Job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8"),FALSE))))),8,10),AA9)*AA8)),MAX(0,40*MAX(1,AA8)-(Y10+Z10))))</f>
        <v>10</v>
      </c>
      <c r="AB10" s="61">
        <f>IF(AND(AB8=1,AB9=12,AND(IFERROR(INDEX('Job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setup'!I$7:I$11,0)),"")=0))),10,MIN(IF(OR(AB8&lt;=0,NOT(OR(AND(IFERROR(INDEX('Job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8"),FALSE))))),8,10),AB9)*AB8)),MAX(0,40*MAX(1,AB8)-(Y10+Z10+AA10))))</f>
        <v>10</v>
      </c>
      <c r="AC10" s="61">
        <f>IF(AND(AC8=1,AC9=12,AND(IFERROR(INDEX('Job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8"),FALSE))))),8,10),AC9)*AC8)),MAX(0,40*MAX(1,AC8)-(Y10+Z10+AA10+AB10))))</f>
        <v>0</v>
      </c>
      <c r="AD10" s="62">
        <f>IF(AND(AD8=1,AD9=12,AND(IFERROR(INDEX('Job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8"),FALSE))))),8,10),AD9)*AD8)),MAX(0,40*MAX(1,AD8)-(Y10+Z10+AA10+AB10+AC10))))</f>
        <v>0</v>
      </c>
      <c r="AE10" s="62">
        <f>IF(AND(AE8=1,AE9=12,AND(IFERROR(INDEX('Job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8"),FALSE))))),8,10),AE9)*AE8)),MAX(0,40*MAX(1,AE8)-(Y10+Z10+AA10+AB10+AC10+AD10))))</f>
        <v>0</v>
      </c>
      <c r="AF10" s="61">
        <f>IF(AND(AF8=1,AF9=12,AND(IFERROR(INDEX('Job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setup'!I$7:I$11,0)),"")=0))),10,MIN(IF(OR(AF8&lt;=0,NOT(OR(AND(IFERROR(INDEX('Job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8"),FALSE))))),8,10),AF9)*AF8)),MAX(0,40*MAX(1,AF8)-(0))))</f>
        <v>10</v>
      </c>
      <c r="AG10" s="61">
        <f>IF(AND(AG8=1,AG9=12,AND(IFERROR(INDEX('Job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setup'!I$7:I$11,0)),"")=0))),10,MIN(IF(OR(AG8&lt;=0,NOT(OR(AND(IFERROR(INDEX('Job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8"),FALSE))))),8,10),AG9)*AG8)),MAX(0,40*MAX(1,AG8)-(AF10))))</f>
        <v>10</v>
      </c>
      <c r="AH10" s="61">
        <f>IF(AND(AH8=1,AH9=12,AND(IFERROR(INDEX('Job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setup'!I$7:I$11,0)),"")=0))),10,MIN(IF(OR(AH8&lt;=0,NOT(OR(AND(IFERROR(INDEX('Job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8"),FALSE))))),8,10),AH9)*AH8)),MAX(0,40*MAX(1,AH8)-(AF10+AG10))))</f>
        <v>10</v>
      </c>
      <c r="AI10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hours")),8,MIN(IF(OR(AI8&lt;=0,NOT(OR(AND(IFERROR(INDEX('Job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8"),FALSE))))),8,10),AI9)*AI8)),MAX(0,40*MAX(1,AI8)-(0))))</f>
        <v>8</v>
      </c>
      <c r="AJ10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hours")),8,MIN(IF(OR(AJ8&lt;=0,NOT(OR(AND(IFERROR(INDEX('Job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8"),FALSE))))),8,10),AJ9)*AJ8)),MAX(0,40*MAX(1,AJ8)-(AI10))))</f>
        <v>8</v>
      </c>
      <c r="AK10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8"),FALSE))))),8,10),AK9)*AK8)),MAX(0,40*MAX(1,AK8)-(0))))</f>
        <v>0</v>
      </c>
      <c r="AL10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8"),FALSE))))),8,10),AL9)*AL8)),MAX(0,40*MAX(1,AL8)-(AK10))))</f>
        <v>0</v>
      </c>
      <c r="AM10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hours")),8,MIN(IF(OR(AM8&lt;=0,NOT(OR(AND(IFERROR(INDEX('Job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8"),FALSE))))),8,10),AM9)*AM8)),MAX(0,40*MAX(1,AM8)-(0))))</f>
        <v>8</v>
      </c>
      <c r="AN10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hours")),8,MIN(IF(OR(AN8&lt;=0,NOT(OR(AND(IFERROR(INDEX('Job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8"),FALSE))))),8,10),AN9)*AN8)),MAX(0,40*MAX(1,AN8)-(AM10))))</f>
        <v>8</v>
      </c>
      <c r="AO10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hours")),8,MIN(IF(OR(AO8&lt;=0,NOT(OR(AND(IFERROR(INDEX('Job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8"),FALSE))))),8,10),AO9)*AO8)),MAX(0,40*MAX(1,AO8)-(AM10+AN10))))</f>
        <v>8</v>
      </c>
      <c r="AP10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hours")),8,MIN(IF(OR(AP8&lt;=0,NOT(OR(AND(IFERROR(INDEX('Job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8"),FALSE))))),8,10),AP9)*AP8)),MAX(0,40*MAX(1,AP8)-(AM10+AN10+AO10))))</f>
        <v>8</v>
      </c>
      <c r="OU10" s="28" t="s">
        <v>59</v>
      </c>
    </row>
    <row r="11" ht="16" customHeight="1" spans="1:411" x14ac:dyDescent="0.25">
      <c r="A11" s="43"/>
      <c r="B11" s="44"/>
      <c r="C11" s="64">
        <f>G7*N(D11)</f>
        <v>6873.240000000001</v>
      </c>
      <c r="D11" s="64">
        <f>IF(TRIM(B7)="","No rate",IFERROR(INDEX('Rate Tables'!D$7:D$161,MATCH(B7,'Rate Tables'!A$7:A$161,0)),"No rate"))</f>
        <v>156.21</v>
      </c>
      <c r="E11" s="53" t="s">
        <v>63</v>
      </c>
      <c r="F11" s="47"/>
      <c r="G11" s="47"/>
      <c r="H11" s="47"/>
      <c r="I11" s="47"/>
      <c r="J11" s="48"/>
      <c r="K11" s="60">
        <f>IF(AND(K8=1,K9=8,AND(IFERROR(INDEX('Job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setup'!I$7:I$11,0)),"")&gt;=K$6)))),0,IF(WEEKDAY(K$6,1)=1,0,MAX(0,K9-(IF(IF(AND(IFERROR(INDEX('Job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8"),FALSE))))),8,10)))*K8))+((IF(OR(K8&lt;=0,NOT(OR(AND(IFERROR(INDEX('Job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8"),FALSE))))),8,10),K9)*K8)))-MIN(IF(OR(K8&lt;=0,NOT(OR(AND(IFERROR(INDEX('Job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8"),FALSE))))),8,10),K9)*K8)),MAX(0,40*MAX(1,K8)-(0)))))</f>
        <v>0</v>
      </c>
      <c r="L11" s="61">
        <f>IF(AND(L8=1,L9=8,AND(IFERROR(INDEX('Job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setup'!I$7:I$11,0)),"")&gt;=L$6)))),0,IF(WEEKDAY(L$6,1)=1,0,MAX(0,L9-(IF(IF(AND(IFERROR(INDEX('Job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8"),FALSE))))),8,10)))*L8))+((IF(OR(L8&lt;=0,NOT(OR(AND(IFERROR(INDEX('Job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8"),FALSE))))),8,10),L9)*L8)))-MIN(IF(OR(L8&lt;=0,NOT(OR(AND(IFERROR(INDEX('Job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8"),FALSE))))),8,10),L9)*L8)),MAX(0,40*MAX(1,L8)-(K10)))))</f>
        <v>0</v>
      </c>
      <c r="M11" s="61">
        <f>IF(AND(M8=1,M9=8,AND(IFERROR(INDEX('Job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setup'!I$7:I$11,0)),"")&gt;=M$6)))),0,IF(WEEKDAY(M$6,1)=1,0,MAX(0,M9-(IF(IF(AND(IFERROR(INDEX('Job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8"),FALSE))))),8,10)))*M8))+((IF(OR(M8&lt;=0,NOT(OR(AND(IFERROR(INDEX('Job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8"),FALSE))))),8,10),M9)*M8)))-MIN(IF(OR(M8&lt;=0,NOT(OR(AND(IFERROR(INDEX('Job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8"),FALSE))))),8,10),M9)*M8)),MAX(0,40*MAX(1,M8)-(K10+L10)))))</f>
        <v>0</v>
      </c>
      <c r="N11" s="61">
        <f>IF(AND(N8=1,N9=8,AND(IFERROR(INDEX('Job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setup'!I$7:I$11,0)),"")&gt;=N$6)))),0,IF(WEEKDAY(N$6,1)=1,0,MAX(0,N9-(IF(IF(AND(IFERROR(INDEX('Job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8"),FALSE))))),8,10)))*N8))+((IF(OR(N8&lt;=0,NOT(OR(AND(IFERROR(INDEX('Job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8"),FALSE))))),8,10),N9)*N8)))-MIN(IF(OR(N8&lt;=0,NOT(OR(AND(IFERROR(INDEX('Job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8"),FALSE))))),8,10),N9)*N8)),MAX(0,40*MAX(1,N8)-(K10+L10+M10)))))</f>
        <v>0</v>
      </c>
      <c r="O11" s="61">
        <f>IF(AND(O8=1,O9=8,AND(IFERROR(INDEX('Job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setup'!I$7:I$11,0)),"")&gt;=O$6)))),0,IF(WEEKDAY(O$6,1)=1,0,MAX(0,O9-(IF(IF(AND(IFERROR(INDEX('Job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8"),FALSE))))),8,10)))*O8))+((IF(OR(O8&lt;=0,NOT(OR(AND(IFERROR(INDEX('Job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8"),FALSE))))),8,10),O9)*O8)))-MIN(IF(OR(O8&lt;=0,NOT(OR(AND(IFERROR(INDEX('Job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8"),FALSE))))),8,10),O9)*O8)),MAX(0,40*MAX(1,O8)-(K10+L10+M10+N10)))))</f>
        <v>0</v>
      </c>
      <c r="P11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setup'!I$7:I$11,0)),"")&gt;=P$6)))),0,IF(WEEKDAY(P$6,1)=1,0,MAX(0,P9-(IF(IF(AND(IFERROR(INDEX('Job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8"),FALSE))))),8,10)))*P8))+((IF(OR(P8&lt;=0,NOT(OR(AND(IFERROR(INDEX('Job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8"),FALSE))))),8,10),P9)*P8)))-MIN(IF(OR(P8&lt;=0,NOT(OR(AND(IFERROR(INDEX('Job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8"),FALSE))))),8,10),P9)*P8)),MAX(0,40*MAX(1,P8)-(0)))))</f>
        <v>0</v>
      </c>
      <c r="Q11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setup'!I$7:I$11,0)),"")&gt;=Q$6)))),0,IF(WEEKDAY(Q$6,1)=1,0,MAX(0,Q9-(IF(IF(AND(IFERROR(INDEX('Job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8"),FALSE))))),8,10)))*Q8))+((IF(OR(Q8&lt;=0,NOT(OR(AND(IFERROR(INDEX('Job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8"),FALSE))))),8,10),Q9)*Q8)))-MIN(IF(OR(Q8&lt;=0,NOT(OR(AND(IFERROR(INDEX('Job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8"),FALSE))))),8,10),Q9)*Q8)),MAX(0,40*MAX(1,Q8)-(P10)))))</f>
        <v>0</v>
      </c>
      <c r="R11" s="61">
        <f>IF(AND(R8=1,R9=8,AND(IFERROR(INDEX('Job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setup'!I$7:I$11,0)),"")&gt;=R$6)))),0,IF(WEEKDAY(R$6,1)=1,0,MAX(0,R9-(IF(IF(AND(IFERROR(INDEX('Job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8"),FALSE))))),8,10)))*R8))+((IF(OR(R8&lt;=0,NOT(OR(AND(IFERROR(INDEX('Job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8"),FALSE))))),8,10),R9)*R8)))-MIN(IF(OR(R8&lt;=0,NOT(OR(AND(IFERROR(INDEX('Job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8"),FALSE))))),8,10),R9)*R8)),MAX(0,40*MAX(1,R8)-(0)))))</f>
        <v>0</v>
      </c>
      <c r="S11" s="61">
        <f>IF(AND(S8=1,S9=8,AND(IFERROR(INDEX('Job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setup'!I$7:I$11,0)),"")&gt;=S$6)))),0,IF(WEEKDAY(S$6,1)=1,0,MAX(0,S9-(IF(IF(AND(IFERROR(INDEX('Job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8"),FALSE))))),8,10)))*S8))+((IF(OR(S8&lt;=0,NOT(OR(AND(IFERROR(INDEX('Job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8"),FALSE))))),8,10),S9)*S8)))-MIN(IF(OR(S8&lt;=0,NOT(OR(AND(IFERROR(INDEX('Job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8"),FALSE))))),8,10),S9)*S8)),MAX(0,40*MAX(1,S8)-(R10)))))</f>
        <v>0</v>
      </c>
      <c r="T11" s="61">
        <f>IF(AND(T8=1,T9=8,AND(IFERROR(INDEX('Job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setup'!I$7:I$11,0)),"")&gt;=T$6)))),0,IF(WEEKDAY(T$6,1)=1,0,MAX(0,T9-(IF(IF(AND(IFERROR(INDEX('Job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8"),FALSE))))),8,10)))*T8))+((IF(OR(T8&lt;=0,NOT(OR(AND(IFERROR(INDEX('Job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8"),FALSE))))),8,10),T9)*T8)))-MIN(IF(OR(T8&lt;=0,NOT(OR(AND(IFERROR(INDEX('Job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8"),FALSE))))),8,10),T9)*T8)),MAX(0,40*MAX(1,T8)-(R10+S10)))))</f>
        <v>0</v>
      </c>
      <c r="U11" s="61">
        <f>IF(AND(U8=1,U9=12,AND(IFERROR(INDEX('Job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setup'!I$7:I$11,0)),"")=0))),2,IF(OR(U8&lt;=0,NOT(OR(AND(IFERROR(INDEX('Job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setup'!I$7:I$11,0)),"")&gt;=U$6)))),0,IF(WEEKDAY(U$6,1)=1,0,MAX(0,U9-(IF(IF(AND(IFERROR(INDEX('Job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8"),FALSE))))),8,10)))*U8))+((IF(OR(U8&lt;=0,NOT(OR(AND(IFERROR(INDEX('Job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8"),FALSE))))),8,10),U9)*U8)))-MIN(IF(OR(U8&lt;=0,NOT(OR(AND(IFERROR(INDEX('Job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8"),FALSE))))),8,10),U9)*U8)),MAX(0,40*MAX(1,U8)-(0)))))</f>
        <v>2</v>
      </c>
      <c r="V11" s="61">
        <f>IF(AND(V8=1,V9=12,AND(IFERROR(INDEX('Job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setup'!I$7:I$11,0)),"")=0))),2,IF(OR(V8&lt;=0,NOT(OR(AND(IFERROR(INDEX('Job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setup'!I$7:I$11,0)),"")&gt;=V$6)))),0,IF(WEEKDAY(V$6,1)=1,0,MAX(0,V9-(IF(IF(AND(IFERROR(INDEX('Job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8"),FALSE))))),8,10)))*V8))+((IF(OR(V8&lt;=0,NOT(OR(AND(IFERROR(INDEX('Job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8"),FALSE))))),8,10),V9)*V8)))-MIN(IF(OR(V8&lt;=0,NOT(OR(AND(IFERROR(INDEX('Job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8"),FALSE))))),8,10),V9)*V8)),MAX(0,40*MAX(1,V8)-(U10)))))</f>
        <v>2</v>
      </c>
      <c r="W11" s="62">
        <f>IF(AND(W8=1,W9=12,AND(IFERROR(INDEX('Job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setup'!I$7:I$11,0)),"")&gt;=W$6)))),0,IF(WEEKDAY(W$6,1)=1,0,MAX(0,W9-(IF(IF(AND(IFERROR(INDEX('Job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8"),FALSE))))),8,10)))*W8))+((IF(OR(W8&lt;=0,NOT(OR(AND(IFERROR(INDEX('Job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8"),FALSE))))),8,10),W9)*W8)))-MIN(IF(OR(W8&lt;=0,NOT(OR(AND(IFERROR(INDEX('Job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8"),FALSE))))),8,10),W9)*W8)),MAX(0,40*MAX(1,W8)-(U10+V10)))))</f>
        <v>2</v>
      </c>
      <c r="X11" s="62">
        <f>IF(AND(X8=1,X9=12,AND(IFERROR(INDEX('Job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setup'!I$7:I$11,0)),"")&gt;=X$6)))),0,IF(WEEKDAY(X$6,1)=1,0,MAX(0,X9-(IF(IF(AND(IFERROR(INDEX('Job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8"),FALSE))))),8,10)))*X8))+((IF(OR(X8&lt;=0,NOT(OR(AND(IFERROR(INDEX('Job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8"),FALSE))))),8,10),X9)*X8)))-MIN(IF(OR(X8&lt;=0,NOT(OR(AND(IFERROR(INDEX('Job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8"),FALSE))))),8,10),X9)*X8)),MAX(0,40*MAX(1,X8)-(U10+V10+W10)))))</f>
        <v>0</v>
      </c>
      <c r="Y11" s="61">
        <f>IF(AND(Y8=1,Y9=12,AND(IFERROR(INDEX('Job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setup'!I$7:I$11,0)),"")=0))),2,IF(OR(Y8&lt;=0,NOT(OR(AND(IFERROR(INDEX('Job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setup'!I$7:I$11,0)),"")&gt;=Y$6)))),0,IF(WEEKDAY(Y$6,1)=1,0,MAX(0,Y9-(IF(IF(AND(IFERROR(INDEX('Job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8"),FALSE))))),8,10)))*Y8))+((IF(OR(Y8&lt;=0,NOT(OR(AND(IFERROR(INDEX('Job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8"),FALSE))))),8,10),Y9)*Y8)))-MIN(IF(OR(Y8&lt;=0,NOT(OR(AND(IFERROR(INDEX('Job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8"),FALSE))))),8,10),Y9)*Y8)),MAX(0,40*MAX(1,Y8)-(0)))))</f>
        <v>2</v>
      </c>
      <c r="Z11" s="61">
        <f>IF(AND(Z8=1,Z9=12,AND(IFERROR(INDEX('Job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setup'!I$7:I$11,0)),"")=0))),2,IF(OR(Z8&lt;=0,NOT(OR(AND(IFERROR(INDEX('Job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setup'!I$7:I$11,0)),"")&gt;=Z$6)))),0,IF(WEEKDAY(Z$6,1)=1,0,MAX(0,Z9-(IF(IF(AND(IFERROR(INDEX('Job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8"),FALSE))))),8,10)))*Z8))+((IF(OR(Z8&lt;=0,NOT(OR(AND(IFERROR(INDEX('Job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8"),FALSE))))),8,10),Z9)*Z8)))-MIN(IF(OR(Z8&lt;=0,NOT(OR(AND(IFERROR(INDEX('Job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8"),FALSE))))),8,10),Z9)*Z8)),MAX(0,40*MAX(1,Z8)-(Y10)))))</f>
        <v>2</v>
      </c>
      <c r="AA11" s="61">
        <f>IF(AND(AA8=1,AA9=12,AND(IFERROR(INDEX('Job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setup'!I$7:I$11,0)),"")=0))),2,IF(OR(AA8&lt;=0,NOT(OR(AND(IFERROR(INDEX('Job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setup'!I$7:I$11,0)),"")&gt;=AA$6)))),0,IF(WEEKDAY(AA$6,1)=1,0,MAX(0,AA9-(IF(IF(AND(IFERROR(INDEX('Job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8"),FALSE))))),8,10)))*AA8))+((IF(OR(AA8&lt;=0,NOT(OR(AND(IFERROR(INDEX('Job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8"),FALSE))))),8,10),AA9)*AA8)))-MIN(IF(OR(AA8&lt;=0,NOT(OR(AND(IFERROR(INDEX('Job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8"),FALSE))))),8,10),AA9)*AA8)),MAX(0,40*MAX(1,AA8)-(Y10+Z10)))))</f>
        <v>2</v>
      </c>
      <c r="AB11" s="61">
        <f>IF(AND(AB8=1,AB9=12,AND(IFERROR(INDEX('Job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setup'!I$7:I$11,0)),"")=0))),2,IF(OR(AB8&lt;=0,NOT(OR(AND(IFERROR(INDEX('Job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setup'!I$7:I$11,0)),"")&gt;=AB$6)))),0,IF(WEEKDAY(AB$6,1)=1,0,MAX(0,AB9-(IF(IF(AND(IFERROR(INDEX('Job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8"),FALSE))))),8,10)))*AB8))+((IF(OR(AB8&lt;=0,NOT(OR(AND(IFERROR(INDEX('Job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8"),FALSE))))),8,10),AB9)*AB8)))-MIN(IF(OR(AB8&lt;=0,NOT(OR(AND(IFERROR(INDEX('Job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8"),FALSE))))),8,10),AB9)*AB8)),MAX(0,40*MAX(1,AB8)-(Y10+Z10+AA10)))))</f>
        <v>2</v>
      </c>
      <c r="AC11" s="61">
        <f>IF(AND(AC8=1,AC9=12,AND(IFERROR(INDEX('Job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setup'!I$7:I$11,0)),"")=0))),12,IF(OR(AC8&lt;=0,NOT(OR(AND(IFERROR(INDEX('Job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setup'!I$7:I$11,0)),"")&gt;=AC$6)))),0,IF(WEEKDAY(AC$6,1)=1,0,MAX(0,AC9-(IF(IF(AND(IFERROR(INDEX('Job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8"),FALSE))))),8,10)))*AC8))+((IF(OR(AC8&lt;=0,NOT(OR(AND(IFERROR(INDEX('Job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8"),FALSE))))),8,10),AC9)*AC8)))-MIN(IF(OR(AC8&lt;=0,NOT(OR(AND(IFERROR(INDEX('Job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8"),FALSE))))),8,10),AC9)*AC8)),MAX(0,40*MAX(1,AC8)-(Y10+Z10+AA10+AB10)))))</f>
        <v>12</v>
      </c>
      <c r="AD11" s="62">
        <f>IF(AND(AD8=1,AD9=12,AND(IFERROR(INDEX('Job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setup'!I$7:I$11,0)),"")&gt;=AD$6)))),0,IF(WEEKDAY(AD$6,1)=1,0,MAX(0,AD9-(IF(IF(AND(IFERROR(INDEX('Job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8"),FALSE))))),8,10)))*AD8))+((IF(OR(AD8&lt;=0,NOT(OR(AND(IFERROR(INDEX('Job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8"),FALSE))))),8,10),AD9)*AD8)))-MIN(IF(OR(AD8&lt;=0,NOT(OR(AND(IFERROR(INDEX('Job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8"),FALSE))))),8,10),AD9)*AD8)),MAX(0,40*MAX(1,AD8)-(Y10+Z10+AA10+AB10+AC10)))))</f>
        <v>12</v>
      </c>
      <c r="AE11" s="62">
        <f>IF(AND(AE8=1,AE9=12,AND(IFERROR(INDEX('Job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setup'!I$7:I$11,0)),"")&gt;=AE$6)))),0,IF(WEEKDAY(AE$6,1)=1,0,MAX(0,AE9-(IF(IF(AND(IFERROR(INDEX('Job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8"),FALSE))))),8,10)))*AE8))+((IF(OR(AE8&lt;=0,NOT(OR(AND(IFERROR(INDEX('Job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8"),FALSE))))),8,10),AE9)*AE8)))-MIN(IF(OR(AE8&lt;=0,NOT(OR(AND(IFERROR(INDEX('Job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8"),FALSE))))),8,10),AE9)*AE8)),MAX(0,40*MAX(1,AE8)-(Y10+Z10+AA10+AB10+AC10+AD10)))))</f>
        <v>0</v>
      </c>
      <c r="AF11" s="61">
        <f>IF(AND(AF8=1,AF9=12,AND(IFERROR(INDEX('Job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setup'!I$7:I$11,0)),"")=0))),2,IF(OR(AF8&lt;=0,NOT(OR(AND(IFERROR(INDEX('Job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setup'!I$7:I$11,0)),"")&gt;=AF$6)))),0,IF(WEEKDAY(AF$6,1)=1,0,MAX(0,AF9-(IF(IF(AND(IFERROR(INDEX('Job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8"),FALSE))))),8,10)))*AF8))+((IF(OR(AF8&lt;=0,NOT(OR(AND(IFERROR(INDEX('Job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8"),FALSE))))),8,10),AF9)*AF8)))-MIN(IF(OR(AF8&lt;=0,NOT(OR(AND(IFERROR(INDEX('Job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8"),FALSE))))),8,10),AF9)*AF8)),MAX(0,40*MAX(1,AF8)-(0)))))</f>
        <v>2</v>
      </c>
      <c r="AG11" s="61">
        <f>IF(AND(AG8=1,AG9=12,AND(IFERROR(INDEX('Job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setup'!I$7:I$11,0)),"")=0))),2,IF(OR(AG8&lt;=0,NOT(OR(AND(IFERROR(INDEX('Job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setup'!I$7:I$11,0)),"")&gt;=AG$6)))),0,IF(WEEKDAY(AG$6,1)=1,0,MAX(0,AG9-(IF(IF(AND(IFERROR(INDEX('Job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8"),FALSE))))),8,10)))*AG8))+((IF(OR(AG8&lt;=0,NOT(OR(AND(IFERROR(INDEX('Job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8"),FALSE))))),8,10),AG9)*AG8)))-MIN(IF(OR(AG8&lt;=0,NOT(OR(AND(IFERROR(INDEX('Job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8"),FALSE))))),8,10),AG9)*AG8)),MAX(0,40*MAX(1,AG8)-(AF10)))))</f>
        <v>2</v>
      </c>
      <c r="AH11" s="61">
        <f>IF(AND(AH8=1,AH9=12,AND(IFERROR(INDEX('Job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setup'!I$7:I$11,0)),"")=0))),2,IF(OR(AH8&lt;=0,NOT(OR(AND(IFERROR(INDEX('Job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setup'!I$7:I$11,0)),"")&gt;=AH$6)))),0,IF(WEEKDAY(AH$6,1)=1,0,MAX(0,AH9-(IF(IF(AND(IFERROR(INDEX('Job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8"),FALSE))))),8,10)))*AH8))+((IF(OR(AH8&lt;=0,NOT(OR(AND(IFERROR(INDEX('Job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8"),FALSE))))),8,10),AH9)*AH8)))-MIN(IF(OR(AH8&lt;=0,NOT(OR(AND(IFERROR(INDEX('Job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8"),FALSE))))),8,10),AH9)*AH8)),MAX(0,40*MAX(1,AH8)-(AF10+AG10)))))</f>
        <v>2</v>
      </c>
      <c r="AI11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setup'!I$7:I$11,0)),"")&gt;=AI$6)))),0,IF(WEEKDAY(AI$6,1)=1,0,MAX(0,AI9-(IF(IF(AND(IFERROR(INDEX('Job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8"),FALSE))))),8,10)))*AI8))+((IF(OR(AI8&lt;=0,NOT(OR(AND(IFERROR(INDEX('Job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8"),FALSE))))),8,10),AI9)*AI8)))-MIN(IF(OR(AI8&lt;=0,NOT(OR(AND(IFERROR(INDEX('Job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8"),FALSE))))),8,10),AI9)*AI8)),MAX(0,40*MAX(1,AI8)-(0)))))</f>
        <v>0</v>
      </c>
      <c r="AJ11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setup'!I$7:I$11,0)),"")&gt;=AJ$6)))),0,IF(WEEKDAY(AJ$6,1)=1,0,MAX(0,AJ9-(IF(IF(AND(IFERROR(INDEX('Job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8"),FALSE))))),8,10)))*AJ8))+((IF(OR(AJ8&lt;=0,NOT(OR(AND(IFERROR(INDEX('Job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8"),FALSE))))),8,10),AJ9)*AJ8)))-MIN(IF(OR(AJ8&lt;=0,NOT(OR(AND(IFERROR(INDEX('Job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8"),FALSE))))),8,10),AJ9)*AJ8)),MAX(0,40*MAX(1,AJ8)-(AI10)))))</f>
        <v>0</v>
      </c>
      <c r="AK11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setup'!I$7:I$11,0)),"")&gt;=AK$6)))),0,IF(WEEKDAY(AK$6,1)=1,0,MAX(0,AK9-(IF(IF(AND(IFERROR(INDEX('Job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8"),FALSE))))),8,10)))*AK8))+((IF(OR(AK8&lt;=0,NOT(OR(AND(IFERROR(INDEX('Job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8"),FALSE))))),8,10),AK9)*AK8)))-MIN(IF(OR(AK8&lt;=0,NOT(OR(AND(IFERROR(INDEX('Job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8"),FALSE))))),8,10),AK9)*AK8)),MAX(0,40*MAX(1,AK8)-(0)))))</f>
        <v>0</v>
      </c>
      <c r="AL11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setup'!I$7:I$11,0)),"")&gt;=AL$6)))),0,IF(WEEKDAY(AL$6,1)=1,0,MAX(0,AL9-(IF(IF(AND(IFERROR(INDEX('Job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8"),FALSE))))),8,10)))*AL8))+((IF(OR(AL8&lt;=0,NOT(OR(AND(IFERROR(INDEX('Job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8"),FALSE))))),8,10),AL9)*AL8)))-MIN(IF(OR(AL8&lt;=0,NOT(OR(AND(IFERROR(INDEX('Job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8"),FALSE))))),8,10),AL9)*AL8)),MAX(0,40*MAX(1,AL8)-(AK10)))))</f>
        <v>0</v>
      </c>
      <c r="AM11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setup'!I$7:I$11,0)),"")&gt;=AM$6)))),0,IF(WEEKDAY(AM$6,1)=1,0,MAX(0,AM9-(IF(IF(AND(IFERROR(INDEX('Job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8"),FALSE))))),8,10)))*AM8))+((IF(OR(AM8&lt;=0,NOT(OR(AND(IFERROR(INDEX('Job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8"),FALSE))))),8,10),AM9)*AM8)))-MIN(IF(OR(AM8&lt;=0,NOT(OR(AND(IFERROR(INDEX('Job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8"),FALSE))))),8,10),AM9)*AM8)),MAX(0,40*MAX(1,AM8)-(0)))))</f>
        <v>0</v>
      </c>
      <c r="AN11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setup'!I$7:I$11,0)),"")&gt;=AN$6)))),0,IF(WEEKDAY(AN$6,1)=1,0,MAX(0,AN9-(IF(IF(AND(IFERROR(INDEX('Job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8"),FALSE))))),8,10)))*AN8))+((IF(OR(AN8&lt;=0,NOT(OR(AND(IFERROR(INDEX('Job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8"),FALSE))))),8,10),AN9)*AN8)))-MIN(IF(OR(AN8&lt;=0,NOT(OR(AND(IFERROR(INDEX('Job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8"),FALSE))))),8,10),AN9)*AN8)),MAX(0,40*MAX(1,AN8)-(AM10)))))</f>
        <v>0</v>
      </c>
      <c r="AO11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setup'!I$7:I$11,0)),"")&gt;=AO$6)))),0,IF(WEEKDAY(AO$6,1)=1,0,MAX(0,AO9-(IF(IF(AND(IFERROR(INDEX('Job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8"),FALSE))))),8,10)))*AO8))+((IF(OR(AO8&lt;=0,NOT(OR(AND(IFERROR(INDEX('Job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8"),FALSE))))),8,10),AO9)*AO8)))-MIN(IF(OR(AO8&lt;=0,NOT(OR(AND(IFERROR(INDEX('Job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8"),FALSE))))),8,10),AO9)*AO8)),MAX(0,40*MAX(1,AO8)-(AM10+AN10)))))</f>
        <v>0</v>
      </c>
      <c r="AP11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setup'!I$7:I$11,0)),"")&gt;=AP$6)))),0,IF(WEEKDAY(AP$6,1)=1,0,MAX(0,AP9-(IF(IF(AND(IFERROR(INDEX('Job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8"),FALSE))))),8,10)))*AP8))+((IF(OR(AP8&lt;=0,NOT(OR(AND(IFERROR(INDEX('Job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8"),FALSE))))),8,10),AP9)*AP8)))-MIN(IF(OR(AP8&lt;=0,NOT(OR(AND(IFERROR(INDEX('Job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8"),FALSE))))),8,10),AP9)*AP8)),MAX(0,40*MAX(1,AP8)-(AM10+AN10+AO10)))))</f>
        <v>0</v>
      </c>
      <c r="OU11" s="28" t="s">
        <v>59</v>
      </c>
    </row>
    <row r="12" ht="16" customHeight="1" spans="1:411" x14ac:dyDescent="0.25">
      <c r="A12" s="43"/>
      <c r="B12" s="44"/>
      <c r="C12" s="59">
        <f>H7*N(D12)</f>
        <v>4818</v>
      </c>
      <c r="D12" s="59">
        <f>IF(TRIM(B7)="","No rate",IFERROR(INDEX('Rate Tables'!E$7:E$161,MATCH(B7,'Rate Tables'!A$7:A$161,0)),"No rate"))</f>
        <v>200.75</v>
      </c>
      <c r="E12" s="53" t="s">
        <v>64</v>
      </c>
      <c r="F12" s="47"/>
      <c r="G12" s="47"/>
      <c r="H12" s="47"/>
      <c r="I12" s="47"/>
      <c r="J12" s="48"/>
      <c r="K12" s="60">
        <f>IF(AND(K8=1,K9=8,AND(IFERROR(INDEX('Job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setup'!I$7:I$11,0)),"")&gt;=K$6)))),0,IF(WEEKDAY(K$6,1)=1,K8*K9,0)))</f>
        <v>0</v>
      </c>
      <c r="L12" s="61">
        <f>IF(AND(L8=1,L9=8,AND(IFERROR(INDEX('Job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setup'!I$7:I$11,0)),"")&gt;=L$6)))),0,IF(WEEKDAY(L$6,1)=1,L8*L9,0)))</f>
        <v>0</v>
      </c>
      <c r="M12" s="61">
        <f>IF(AND(M8=1,M9=8,AND(IFERROR(INDEX('Job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setup'!I$7:I$11,0)),"")&gt;=M$6)))),0,IF(WEEKDAY(M$6,1)=1,M8*M9,0)))</f>
        <v>0</v>
      </c>
      <c r="N12" s="61">
        <f>IF(AND(N8=1,N9=8,AND(IFERROR(INDEX('Job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setup'!I$7:I$11,0)),"")&gt;=N$6)))),0,IF(WEEKDAY(N$6,1)=1,N8*N9,0)))</f>
        <v>0</v>
      </c>
      <c r="O12" s="61">
        <f>IF(AND(O8=1,O9=8,AND(IFERROR(INDEX('Job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setup'!I$7:I$11,0)),"")&gt;=O$6)))),0,IF(WEEKDAY(O$6,1)=1,O8*O9,0)))</f>
        <v>0</v>
      </c>
      <c r="P12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setup'!I$7:I$11,0)),"")&gt;=P$6)))),0,IF(WEEKDAY(P$6,1)=1,P8*P9,0)))</f>
        <v>0</v>
      </c>
      <c r="Q12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setup'!I$7:I$11,0)),"")&gt;=Q$6)))),0,IF(WEEKDAY(Q$6,1)=1,Q8*Q9,0)))</f>
        <v>0</v>
      </c>
      <c r="R12" s="61">
        <f>IF(AND(R8=1,R9=8,AND(IFERROR(INDEX('Job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setup'!I$7:I$11,0)),"")&gt;=R$6)))),0,IF(WEEKDAY(R$6,1)=1,R8*R9,0)))</f>
        <v>0</v>
      </c>
      <c r="S12" s="61">
        <f>IF(AND(S8=1,S9=8,AND(IFERROR(INDEX('Job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setup'!I$7:I$11,0)),"")&gt;=S$6)))),0,IF(WEEKDAY(S$6,1)=1,S8*S9,0)))</f>
        <v>0</v>
      </c>
      <c r="T12" s="61">
        <f>IF(AND(T8=1,T9=8,AND(IFERROR(INDEX('Job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setup'!I$7:I$11,0)),"")&gt;=T$6)))),0,IF(WEEKDAY(T$6,1)=1,T8*T9,0)))</f>
        <v>0</v>
      </c>
      <c r="U12" s="61">
        <f>IF(AND(U8=1,U9=12,AND(IFERROR(INDEX('Job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setup'!I$7:I$11,0)),"")&gt;=U$6)))),0,IF(WEEKDAY(U$6,1)=1,U8*U9,0)))</f>
        <v>0</v>
      </c>
      <c r="V12" s="61">
        <f>IF(AND(V8=1,V9=12,AND(IFERROR(INDEX('Job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setup'!I$7:I$11,0)),"")&gt;=V$6)))),0,IF(WEEKDAY(V$6,1)=1,V8*V9,0)))</f>
        <v>0</v>
      </c>
      <c r="W12" s="62">
        <f>IF(AND(W8=1,W9=12,AND(IFERROR(INDEX('Job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setup'!I$7:I$11,0)),"")&gt;=W$6)))),0,IF(WEEKDAY(W$6,1)=1,W8*W9,0)))</f>
        <v>0</v>
      </c>
      <c r="X12" s="62">
        <f>IF(AND(X8=1,X9=12,AND(IFERROR(INDEX('Job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setup'!I$7:I$11,0)),"")&gt;=X$6)))),0,IF(WEEKDAY(X$6,1)=1,X8*X9,0)))</f>
        <v>12</v>
      </c>
      <c r="Y12" s="61">
        <f>IF(AND(Y8=1,Y9=12,AND(IFERROR(INDEX('Job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setup'!I$7:I$11,0)),"")&gt;=Y$6)))),0,IF(WEEKDAY(Y$6,1)=1,Y8*Y9,0)))</f>
        <v>0</v>
      </c>
      <c r="Z12" s="61">
        <f>IF(AND(Z8=1,Z9=12,AND(IFERROR(INDEX('Job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setup'!I$7:I$11,0)),"")&gt;=Z$6)))),0,IF(WEEKDAY(Z$6,1)=1,Z8*Z9,0)))</f>
        <v>0</v>
      </c>
      <c r="AA12" s="61">
        <f>IF(AND(AA8=1,AA9=12,AND(IFERROR(INDEX('Job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setup'!I$7:I$11,0)),"")&gt;=AA$6)))),0,IF(WEEKDAY(AA$6,1)=1,AA8*AA9,0)))</f>
        <v>0</v>
      </c>
      <c r="AB12" s="61">
        <f>IF(AND(AB8=1,AB9=12,AND(IFERROR(INDEX('Job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setup'!I$7:I$11,0)),"")&gt;=AB$6)))),0,IF(WEEKDAY(AB$6,1)=1,AB8*AB9,0)))</f>
        <v>0</v>
      </c>
      <c r="AC12" s="61">
        <f>IF(AND(AC8=1,AC9=12,AND(IFERROR(INDEX('Job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setup'!I$7:I$11,0)),"")&gt;=AC$6)))),0,IF(WEEKDAY(AC$6,1)=1,AC8*AC9,0)))</f>
        <v>0</v>
      </c>
      <c r="AD12" s="62">
        <f>IF(AND(AD8=1,AD9=12,AND(IFERROR(INDEX('Job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setup'!I$7:I$11,0)),"")&gt;=AD$6)))),0,IF(WEEKDAY(AD$6,1)=1,AD8*AD9,0)))</f>
        <v>0</v>
      </c>
      <c r="AE12" s="62">
        <f>IF(AND(AE8=1,AE9=12,AND(IFERROR(INDEX('Job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setup'!I$7:I$11,0)),"")&gt;=AE$6)))),0,IF(WEEKDAY(AE$6,1)=1,AE8*AE9,0)))</f>
        <v>12</v>
      </c>
      <c r="AF12" s="61">
        <f>IF(AND(AF8=1,AF9=12,AND(IFERROR(INDEX('Job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setup'!I$7:I$11,0)),"")&gt;=AF$6)))),0,IF(WEEKDAY(AF$6,1)=1,AF8*AF9,0)))</f>
        <v>0</v>
      </c>
      <c r="AG12" s="61">
        <f>IF(AND(AG8=1,AG9=12,AND(IFERROR(INDEX('Job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setup'!I$7:I$11,0)),"")&gt;=AG$6)))),0,IF(WEEKDAY(AG$6,1)=1,AG8*AG9,0)))</f>
        <v>0</v>
      </c>
      <c r="AH12" s="61">
        <f>IF(AND(AH8=1,AH9=12,AND(IFERROR(INDEX('Job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setup'!I$7:I$11,0)),"")&gt;=AH$6)))),0,IF(WEEKDAY(AH$6,1)=1,AH8*AH9,0)))</f>
        <v>0</v>
      </c>
      <c r="AI12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setup'!I$7:I$11,0)),"")&gt;=AI$6)))),0,IF(WEEKDAY(AI$6,1)=1,AI8*AI9,0)))</f>
        <v>0</v>
      </c>
      <c r="AJ12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setup'!I$7:I$11,0)),"")&gt;=AJ$6)))),0,IF(WEEKDAY(AJ$6,1)=1,AJ8*AJ9,0)))</f>
        <v>0</v>
      </c>
      <c r="AK12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setup'!I$7:I$11,0)),"")&gt;=AK$6)))),0,IF(WEEKDAY(AK$6,1)=1,AK8*AK9,0)))</f>
        <v>0</v>
      </c>
      <c r="AL12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setup'!I$7:I$11,0)),"")&gt;=AL$6)))),0,IF(WEEKDAY(AL$6,1)=1,AL8*AL9,0)))</f>
        <v>0</v>
      </c>
      <c r="AM12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setup'!I$7:I$11,0)),"")&gt;=AM$6)))),0,IF(WEEKDAY(AM$6,1)=1,AM8*AM9,0)))</f>
        <v>0</v>
      </c>
      <c r="AN12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setup'!I$7:I$11,0)),"")&gt;=AN$6)))),0,IF(WEEKDAY(AN$6,1)=1,AN8*AN9,0)))</f>
        <v>0</v>
      </c>
      <c r="AO12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setup'!I$7:I$11,0)),"")&gt;=AO$6)))),0,IF(WEEKDAY(AO$6,1)=1,AO8*AO9,0)))</f>
        <v>0</v>
      </c>
      <c r="AP12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setup'!I$7:I$11,0)),"")&gt;=AP$6)))),0,IF(WEEKDAY(AP$6,1)=1,AP8*AP9,0)))</f>
        <v>0</v>
      </c>
      <c r="OU12" s="28" t="s">
        <v>59</v>
      </c>
    </row>
    <row r="13" ht="16" customHeight="1" spans="1:411" x14ac:dyDescent="0.25">
      <c r="A13" s="43"/>
      <c r="B13" s="44"/>
      <c r="C13" s="65">
        <f>I7*D13</f>
        <v>3080</v>
      </c>
      <c r="D13" s="65">
        <v>140</v>
      </c>
      <c r="E13" s="66" t="s">
        <v>65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0</v>
      </c>
      <c r="AJ13" s="68">
        <v>0</v>
      </c>
      <c r="AK13" s="69">
        <v>0</v>
      </c>
      <c r="AL13" s="69">
        <v>0</v>
      </c>
      <c r="AM13" s="68">
        <v>0</v>
      </c>
      <c r="AN13" s="68">
        <v>0</v>
      </c>
      <c r="AO13" s="68">
        <v>0</v>
      </c>
      <c r="AP13" s="70">
        <v>0</v>
      </c>
      <c r="OU13" s="58" t="s">
        <v>59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66</v>
      </c>
      <c r="B15" s="44" t="s">
        <v>58</v>
      </c>
      <c r="C15" s="45">
        <f>J15</f>
        <v>30005.120000000003</v>
      </c>
      <c r="D15" s="46"/>
      <c r="E15" s="46"/>
      <c r="F15" s="47">
        <f>SUM(K18:AP18)</f>
        <v>164</v>
      </c>
      <c r="G15" s="47">
        <f>SUM(K19:AP19)</f>
        <v>44</v>
      </c>
      <c r="H15" s="47">
        <f>SUM(K20:AP20)</f>
        <v>24</v>
      </c>
      <c r="I15" s="47">
        <f>SUM(K21:AP21)</f>
        <v>22</v>
      </c>
      <c r="J15" s="48">
        <f>C18+C19+C20</f>
        <v>30005.120000000003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67</v>
      </c>
    </row>
    <row r="16" ht="16" customHeight="1" spans="1:411" x14ac:dyDescent="0.25">
      <c r="A16" s="72"/>
      <c r="B16" s="44"/>
      <c r="C16" s="45"/>
      <c r="D16" s="46"/>
      <c r="E16" s="53" t="s">
        <v>60</v>
      </c>
      <c r="F16" s="47"/>
      <c r="G16" s="47"/>
      <c r="H16" s="47"/>
      <c r="I16" s="47"/>
      <c r="J16" s="48"/>
      <c r="K16" s="54">
        <v>1</v>
      </c>
      <c r="L16" s="55">
        <v>1</v>
      </c>
      <c r="M16" s="55">
        <v>1</v>
      </c>
      <c r="N16" s="55">
        <v>1</v>
      </c>
      <c r="O16" s="55">
        <v>1</v>
      </c>
      <c r="P16" s="56">
        <v>0</v>
      </c>
      <c r="Q16" s="56">
        <v>0</v>
      </c>
      <c r="R16" s="55">
        <v>1</v>
      </c>
      <c r="S16" s="55">
        <v>1</v>
      </c>
      <c r="T16" s="55">
        <v>1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67</v>
      </c>
    </row>
    <row r="17" ht="16" customHeight="1" spans="1:411" x14ac:dyDescent="0.25">
      <c r="A17" s="72"/>
      <c r="B17" s="44"/>
      <c r="C17" s="45"/>
      <c r="D17" s="46"/>
      <c r="E17" s="53" t="s">
        <v>61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67</v>
      </c>
    </row>
    <row r="18" ht="16" customHeight="1" spans="1:411" x14ac:dyDescent="0.25">
      <c r="A18" s="72"/>
      <c r="B18" s="44"/>
      <c r="C18" s="59">
        <f>F15*N(D18)</f>
        <v>18313.88</v>
      </c>
      <c r="D18" s="59">
        <f>IF(TRIM(B15)="","No rate",IFERROR(INDEX('Rate Tables'!C$7:C$161,MATCH(B15,'Rate Tables'!A$7:A$161,0)),"No rate"))</f>
        <v>111.67</v>
      </c>
      <c r="E18" s="53" t="s">
        <v>62</v>
      </c>
      <c r="F18" s="47"/>
      <c r="G18" s="47"/>
      <c r="H18" s="47"/>
      <c r="I18" s="47"/>
      <c r="J18" s="48"/>
      <c r="K18" s="60">
        <f>IF(AND(K16=1,K17=8,AND(IFERROR(INDEX('Job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8"),FALSE))))),8,10),K17)*K16)),MAX(0,40*MAX(1,K16)-(0))))</f>
        <v>8</v>
      </c>
      <c r="L18" s="61">
        <f>IF(AND(L16=1,L17=8,AND(IFERROR(INDEX('Job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8"),FALSE))))),8,10),L17)*L16)),MAX(0,40*MAX(1,L16)-(K18))))</f>
        <v>8</v>
      </c>
      <c r="M18" s="61">
        <f>IF(AND(M16=1,M17=8,AND(IFERROR(INDEX('Job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8"),FALSE))))),8,10),M17)*M16)),MAX(0,40*MAX(1,M16)-(K18+L18))))</f>
        <v>8</v>
      </c>
      <c r="N18" s="61">
        <f>IF(AND(N16=1,N17=8,AND(IFERROR(INDEX('Job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8"),FALSE))))),8,10),N17)*N16)),MAX(0,40*MAX(1,N16)-(K18+L18+M18))))</f>
        <v>8</v>
      </c>
      <c r="O18" s="61">
        <f>IF(AND(O16=1,O17=8,AND(IFERROR(INDEX('Job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8"),FALSE))))),8,10),O17)*O16)),MAX(0,40*MAX(1,O16)-(K18+L18+M18+N18))))</f>
        <v>8</v>
      </c>
      <c r="P18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8"),FALSE))))),8,10),P17)*P16)),MAX(0,40*MAX(1,P16)-(0))))</f>
        <v>0</v>
      </c>
      <c r="Q18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8"),FALSE))))),8,10),Q17)*Q16)),MAX(0,40*MAX(1,Q16)-(P18))))</f>
        <v>0</v>
      </c>
      <c r="R18" s="61">
        <f>IF(AND(R16=1,R17=8,AND(IFERROR(INDEX('Job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8"),FALSE))))),8,10),R17)*R16)),MAX(0,40*MAX(1,R16)-(0))))</f>
        <v>8</v>
      </c>
      <c r="S18" s="61">
        <f>IF(AND(S16=1,S17=8,AND(IFERROR(INDEX('Job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8"),FALSE))))),8,10),S17)*S16)),MAX(0,40*MAX(1,S16)-(R18))))</f>
        <v>8</v>
      </c>
      <c r="T18" s="61">
        <f>IF(AND(T16=1,T17=8,AND(IFERROR(INDEX('Job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8"),FALSE))))),8,10),T17)*T16)),MAX(0,40*MAX(1,T16)-(R18+S18))))</f>
        <v>8</v>
      </c>
      <c r="U18" s="61">
        <f>IF(AND(U16=1,U17=12,AND(IFERROR(INDEX('Job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setup'!I$7:I$11,0)),"")=0))),10,MIN(IF(OR(U16&lt;=0,NOT(OR(AND(IFERROR(INDEX('Job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8"),FALSE))))),8,10),U17)*U16)),MAX(0,40*MAX(1,U16)-(0))))</f>
        <v>10</v>
      </c>
      <c r="V18" s="61">
        <f>IF(AND(V16=1,V17=12,AND(IFERROR(INDEX('Job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setup'!I$7:I$11,0)),"")=0))),10,MIN(IF(OR(V16&lt;=0,NOT(OR(AND(IFERROR(INDEX('Job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8"),FALSE))))),8,10),V17)*V16)),MAX(0,40*MAX(1,V16)-(U18))))</f>
        <v>10</v>
      </c>
      <c r="W18" s="62">
        <f>IF(AND(W16=1,W17=12,AND(IFERROR(INDEX('Job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setup'!I$7:I$11,0)),"")=0))),10,MIN(IF(OR(W16&lt;=0,NOT(OR(AND(IFERROR(INDEX('Job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8"),FALSE))))),8,10),W17)*W16)),MAX(0,40*MAX(1,W16)-(U18+V18))))</f>
        <v>10</v>
      </c>
      <c r="X18" s="62">
        <f>IF(AND(X16=1,X17=12,AND(IFERROR(INDEX('Job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8"),FALSE))))),8,10),X17)*X16)),MAX(0,40*MAX(1,X16)-(U18+V18+W18))))</f>
        <v>0</v>
      </c>
      <c r="Y18" s="61">
        <f>IF(AND(Y16=1,Y17=12,AND(IFERROR(INDEX('Job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setup'!I$7:I$11,0)),"")=0))),10,MIN(IF(OR(Y16&lt;=0,NOT(OR(AND(IFERROR(INDEX('Job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8"),FALSE))))),8,10),Y17)*Y16)),MAX(0,40*MAX(1,Y16)-(0))))</f>
        <v>10</v>
      </c>
      <c r="Z18" s="61">
        <f>IF(AND(Z16=1,Z17=12,AND(IFERROR(INDEX('Job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setup'!I$7:I$11,0)),"")=0))),10,MIN(IF(OR(Z16&lt;=0,NOT(OR(AND(IFERROR(INDEX('Job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8"),FALSE))))),8,10),Z17)*Z16)),MAX(0,40*MAX(1,Z16)-(Y18))))</f>
        <v>10</v>
      </c>
      <c r="AA18" s="61">
        <f>IF(AND(AA16=1,AA17=12,AND(IFERROR(INDEX('Job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setup'!I$7:I$11,0)),"")=0))),10,MIN(IF(OR(AA16&lt;=0,NOT(OR(AND(IFERROR(INDEX('Job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8"),FALSE))))),8,10),AA17)*AA16)),MAX(0,40*MAX(1,AA16)-(Y18+Z18))))</f>
        <v>10</v>
      </c>
      <c r="AB18" s="61">
        <f>IF(AND(AB16=1,AB17=12,AND(IFERROR(INDEX('Job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setup'!I$7:I$11,0)),"")=0))),10,MIN(IF(OR(AB16&lt;=0,NOT(OR(AND(IFERROR(INDEX('Job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8"),FALSE))))),8,10),AB17)*AB16)),MAX(0,40*MAX(1,AB16)-(Y18+Z18+AA18))))</f>
        <v>10</v>
      </c>
      <c r="AC18" s="61">
        <f>IF(AND(AC16=1,AC17=12,AND(IFERROR(INDEX('Job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8"),FALSE))))),8,10),AC17)*AC16)),MAX(0,40*MAX(1,AC16)-(Y18+Z18+AA18+AB18))))</f>
        <v>0</v>
      </c>
      <c r="AD18" s="62">
        <f>IF(AND(AD16=1,AD17=12,AND(IFERROR(INDEX('Job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8"),FALSE))))),8,10),AD17)*AD16)),MAX(0,40*MAX(1,AD16)-(Y18+Z18+AA18+AB18+AC18))))</f>
        <v>0</v>
      </c>
      <c r="AE18" s="62">
        <f>IF(AND(AE16=1,AE17=12,AND(IFERROR(INDEX('Job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8"),FALSE))))),8,10),AE17)*AE16)),MAX(0,40*MAX(1,AE16)-(Y18+Z18+AA18+AB18+AC18+AD18))))</f>
        <v>0</v>
      </c>
      <c r="AF18" s="61">
        <f>IF(AND(AF16=1,AF17=12,AND(IFERROR(INDEX('Job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setup'!I$7:I$11,0)),"")=0))),10,MIN(IF(OR(AF16&lt;=0,NOT(OR(AND(IFERROR(INDEX('Job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8"),FALSE))))),8,10),AF17)*AF16)),MAX(0,40*MAX(1,AF16)-(0))))</f>
        <v>10</v>
      </c>
      <c r="AG18" s="61">
        <f>IF(AND(AG16=1,AG17=12,AND(IFERROR(INDEX('Job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setup'!I$7:I$11,0)),"")=0))),10,MIN(IF(OR(AG16&lt;=0,NOT(OR(AND(IFERROR(INDEX('Job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8"),FALSE))))),8,10),AG17)*AG16)),MAX(0,40*MAX(1,AG16)-(AF18))))</f>
        <v>10</v>
      </c>
      <c r="AH18" s="61">
        <f>IF(AND(AH16=1,AH17=12,AND(IFERROR(INDEX('Job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setup'!I$7:I$11,0)),"")=0))),10,MIN(IF(OR(AH16&lt;=0,NOT(OR(AND(IFERROR(INDEX('Job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8"),FALSE))))),8,10),AH17)*AH16)),MAX(0,40*MAX(1,AH16)-(AF18+AG18))))</f>
        <v>10</v>
      </c>
      <c r="AI18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8"),FALSE))))),8,10),AI17)*AI16)),MAX(0,40*MAX(1,AI16)-(0))))</f>
        <v>0</v>
      </c>
      <c r="AJ18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8"),FALSE))))),8,10),AJ17)*AJ16)),MAX(0,40*MAX(1,AJ16)-(AI18))))</f>
        <v>0</v>
      </c>
      <c r="AK18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8"),FALSE))))),8,10),AK17)*AK16)),MAX(0,40*MAX(1,AK16)-(AI18+AJ18))))</f>
        <v>0</v>
      </c>
      <c r="AL18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8"),FALSE))))),8,10),AL17)*AL16)),MAX(0,40*MAX(1,AL16)-(AI18+AJ18+AK18))))</f>
        <v>0</v>
      </c>
      <c r="AM18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8"),FALSE))))),8,10),AM17)*AM16)),MAX(0,40*MAX(1,AM16)-(0))))</f>
        <v>0</v>
      </c>
      <c r="AN18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8"),FALSE))))),8,10),AN17)*AN16)),MAX(0,40*MAX(1,AN16)-(AM18))))</f>
        <v>0</v>
      </c>
      <c r="AO18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8"),FALSE))))),8,10),AO17)*AO16)),MAX(0,40*MAX(1,AO16)-(AM18+AN18))))</f>
        <v>0</v>
      </c>
      <c r="AP18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8"),FALSE))))),8,10),AP17)*AP16)),MAX(0,40*MAX(1,AP16)-(AM18+AN18+AO18))))</f>
        <v>0</v>
      </c>
      <c r="OU18" s="28" t="s">
        <v>67</v>
      </c>
    </row>
    <row r="19" ht="16" customHeight="1" spans="1:411" x14ac:dyDescent="0.25">
      <c r="A19" s="72"/>
      <c r="B19" s="44"/>
      <c r="C19" s="64">
        <f>G15*N(D19)</f>
        <v>6873.240000000001</v>
      </c>
      <c r="D19" s="64">
        <f>IF(TRIM(B15)="","No rate",IFERROR(INDEX('Rate Tables'!D$7:D$161,MATCH(B15,'Rate Tables'!A$7:A$161,0)),"No rate"))</f>
        <v>156.21</v>
      </c>
      <c r="E19" s="53" t="s">
        <v>63</v>
      </c>
      <c r="F19" s="47"/>
      <c r="G19" s="47"/>
      <c r="H19" s="47"/>
      <c r="I19" s="47"/>
      <c r="J19" s="48"/>
      <c r="K19" s="60">
        <f>IF(AND(K16=1,K17=8,AND(IFERROR(INDEX('Job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setup'!I$7:I$11,0)),"")&gt;=K$6)))),0,IF(WEEKDAY(K$6,1)=1,0,MAX(0,K17-(IF(IF(AND(IFERROR(INDEX('Job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8"),FALSE))))),8,10)))*K16))+((IF(OR(K16&lt;=0,NOT(OR(AND(IFERROR(INDEX('Job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8"),FALSE))))),8,10),K17)*K16)))-MIN(IF(OR(K16&lt;=0,NOT(OR(AND(IFERROR(INDEX('Job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8"),FALSE))))),8,10),K17)*K16)),MAX(0,40*MAX(1,K16)-(0)))))</f>
        <v>0</v>
      </c>
      <c r="L19" s="61">
        <f>IF(AND(L16=1,L17=8,AND(IFERROR(INDEX('Job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setup'!I$7:I$11,0)),"")&gt;=L$6)))),0,IF(WEEKDAY(L$6,1)=1,0,MAX(0,L17-(IF(IF(AND(IFERROR(INDEX('Job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8"),FALSE))))),8,10)))*L16))+((IF(OR(L16&lt;=0,NOT(OR(AND(IFERROR(INDEX('Job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8"),FALSE))))),8,10),L17)*L16)))-MIN(IF(OR(L16&lt;=0,NOT(OR(AND(IFERROR(INDEX('Job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8"),FALSE))))),8,10),L17)*L16)),MAX(0,40*MAX(1,L16)-(K18)))))</f>
        <v>0</v>
      </c>
      <c r="M19" s="61">
        <f>IF(AND(M16=1,M17=8,AND(IFERROR(INDEX('Job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setup'!I$7:I$11,0)),"")&gt;=M$6)))),0,IF(WEEKDAY(M$6,1)=1,0,MAX(0,M17-(IF(IF(AND(IFERROR(INDEX('Job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8"),FALSE))))),8,10)))*M16))+((IF(OR(M16&lt;=0,NOT(OR(AND(IFERROR(INDEX('Job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8"),FALSE))))),8,10),M17)*M16)))-MIN(IF(OR(M16&lt;=0,NOT(OR(AND(IFERROR(INDEX('Job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8"),FALSE))))),8,10),M17)*M16)),MAX(0,40*MAX(1,M16)-(K18+L18)))))</f>
        <v>0</v>
      </c>
      <c r="N19" s="61">
        <f>IF(AND(N16=1,N17=8,AND(IFERROR(INDEX('Job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setup'!I$7:I$11,0)),"")&gt;=N$6)))),0,IF(WEEKDAY(N$6,1)=1,0,MAX(0,N17-(IF(IF(AND(IFERROR(INDEX('Job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8"),FALSE))))),8,10)))*N16))+((IF(OR(N16&lt;=0,NOT(OR(AND(IFERROR(INDEX('Job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8"),FALSE))))),8,10),N17)*N16)))-MIN(IF(OR(N16&lt;=0,NOT(OR(AND(IFERROR(INDEX('Job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8"),FALSE))))),8,10),N17)*N16)),MAX(0,40*MAX(1,N16)-(K18+L18+M18)))))</f>
        <v>0</v>
      </c>
      <c r="O19" s="61">
        <f>IF(AND(O16=1,O17=8,AND(IFERROR(INDEX('Job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setup'!I$7:I$11,0)),"")&gt;=O$6)))),0,IF(WEEKDAY(O$6,1)=1,0,MAX(0,O17-(IF(IF(AND(IFERROR(INDEX('Job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8"),FALSE))))),8,10)))*O16))+((IF(OR(O16&lt;=0,NOT(OR(AND(IFERROR(INDEX('Job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8"),FALSE))))),8,10),O17)*O16)))-MIN(IF(OR(O16&lt;=0,NOT(OR(AND(IFERROR(INDEX('Job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8"),FALSE))))),8,10),O17)*O16)),MAX(0,40*MAX(1,O16)-(K18+L18+M18+N18)))))</f>
        <v>0</v>
      </c>
      <c r="P19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setup'!I$7:I$11,0)),"")&gt;=P$6)))),0,IF(WEEKDAY(P$6,1)=1,0,MAX(0,P17-(IF(IF(AND(IFERROR(INDEX('Job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8"),FALSE))))),8,10)))*P16))+((IF(OR(P16&lt;=0,NOT(OR(AND(IFERROR(INDEX('Job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8"),FALSE))))),8,10),P17)*P16)))-MIN(IF(OR(P16&lt;=0,NOT(OR(AND(IFERROR(INDEX('Job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8"),FALSE))))),8,10),P17)*P16)),MAX(0,40*MAX(1,P16)-(0)))))</f>
        <v>0</v>
      </c>
      <c r="Q19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setup'!I$7:I$11,0)),"")&gt;=Q$6)))),0,IF(WEEKDAY(Q$6,1)=1,0,MAX(0,Q17-(IF(IF(AND(IFERROR(INDEX('Job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8"),FALSE))))),8,10)))*Q16))+((IF(OR(Q16&lt;=0,NOT(OR(AND(IFERROR(INDEX('Job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8"),FALSE))))),8,10),Q17)*Q16)))-MIN(IF(OR(Q16&lt;=0,NOT(OR(AND(IFERROR(INDEX('Job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8"),FALSE))))),8,10),Q17)*Q16)),MAX(0,40*MAX(1,Q16)-(P18)))))</f>
        <v>0</v>
      </c>
      <c r="R19" s="61">
        <f>IF(AND(R16=1,R17=8,AND(IFERROR(INDEX('Job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setup'!I$7:I$11,0)),"")&gt;=R$6)))),0,IF(WEEKDAY(R$6,1)=1,0,MAX(0,R17-(IF(IF(AND(IFERROR(INDEX('Job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8"),FALSE))))),8,10)))*R16))+((IF(OR(R16&lt;=0,NOT(OR(AND(IFERROR(INDEX('Job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8"),FALSE))))),8,10),R17)*R16)))-MIN(IF(OR(R16&lt;=0,NOT(OR(AND(IFERROR(INDEX('Job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8"),FALSE))))),8,10),R17)*R16)),MAX(0,40*MAX(1,R16)-(0)))))</f>
        <v>0</v>
      </c>
      <c r="S19" s="61">
        <f>IF(AND(S16=1,S17=8,AND(IFERROR(INDEX('Job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setup'!I$7:I$11,0)),"")&gt;=S$6)))),0,IF(WEEKDAY(S$6,1)=1,0,MAX(0,S17-(IF(IF(AND(IFERROR(INDEX('Job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8"),FALSE))))),8,10)))*S16))+((IF(OR(S16&lt;=0,NOT(OR(AND(IFERROR(INDEX('Job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8"),FALSE))))),8,10),S17)*S16)))-MIN(IF(OR(S16&lt;=0,NOT(OR(AND(IFERROR(INDEX('Job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8"),FALSE))))),8,10),S17)*S16)),MAX(0,40*MAX(1,S16)-(R18)))))</f>
        <v>0</v>
      </c>
      <c r="T19" s="61">
        <f>IF(AND(T16=1,T17=8,AND(IFERROR(INDEX('Job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setup'!I$7:I$11,0)),"")&gt;=T$6)))),0,IF(WEEKDAY(T$6,1)=1,0,MAX(0,T17-(IF(IF(AND(IFERROR(INDEX('Job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8"),FALSE))))),8,10)))*T16))+((IF(OR(T16&lt;=0,NOT(OR(AND(IFERROR(INDEX('Job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8"),FALSE))))),8,10),T17)*T16)))-MIN(IF(OR(T16&lt;=0,NOT(OR(AND(IFERROR(INDEX('Job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8"),FALSE))))),8,10),T17)*T16)),MAX(0,40*MAX(1,T16)-(R18+S18)))))</f>
        <v>0</v>
      </c>
      <c r="U19" s="61">
        <f>IF(AND(U16=1,U17=12,AND(IFERROR(INDEX('Job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setup'!I$7:I$11,0)),"")=0))),2,IF(OR(U16&lt;=0,NOT(OR(AND(IFERROR(INDEX('Job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setup'!I$7:I$11,0)),"")&gt;=U$6)))),0,IF(WEEKDAY(U$6,1)=1,0,MAX(0,U17-(IF(IF(AND(IFERROR(INDEX('Job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8"),FALSE))))),8,10)))*U16))+((IF(OR(U16&lt;=0,NOT(OR(AND(IFERROR(INDEX('Job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8"),FALSE))))),8,10),U17)*U16)))-MIN(IF(OR(U16&lt;=0,NOT(OR(AND(IFERROR(INDEX('Job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8"),FALSE))))),8,10),U17)*U16)),MAX(0,40*MAX(1,U16)-(0)))))</f>
        <v>2</v>
      </c>
      <c r="V19" s="61">
        <f>IF(AND(V16=1,V17=12,AND(IFERROR(INDEX('Job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setup'!I$7:I$11,0)),"")=0))),2,IF(OR(V16&lt;=0,NOT(OR(AND(IFERROR(INDEX('Job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setup'!I$7:I$11,0)),"")&gt;=V$6)))),0,IF(WEEKDAY(V$6,1)=1,0,MAX(0,V17-(IF(IF(AND(IFERROR(INDEX('Job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8"),FALSE))))),8,10)))*V16))+((IF(OR(V16&lt;=0,NOT(OR(AND(IFERROR(INDEX('Job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8"),FALSE))))),8,10),V17)*V16)))-MIN(IF(OR(V16&lt;=0,NOT(OR(AND(IFERROR(INDEX('Job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8"),FALSE))))),8,10),V17)*V16)),MAX(0,40*MAX(1,V16)-(U18)))))</f>
        <v>2</v>
      </c>
      <c r="W19" s="62">
        <f>IF(AND(W16=1,W17=12,AND(IFERROR(INDEX('Job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setup'!I$7:I$11,0)),"")&gt;=W$6)))),0,IF(WEEKDAY(W$6,1)=1,0,MAX(0,W17-(IF(IF(AND(IFERROR(INDEX('Job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8"),FALSE))))),8,10)))*W16))+((IF(OR(W16&lt;=0,NOT(OR(AND(IFERROR(INDEX('Job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8"),FALSE))))),8,10),W17)*W16)))-MIN(IF(OR(W16&lt;=0,NOT(OR(AND(IFERROR(INDEX('Job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8"),FALSE))))),8,10),W17)*W16)),MAX(0,40*MAX(1,W16)-(U18+V18)))))</f>
        <v>2</v>
      </c>
      <c r="X19" s="62">
        <f>IF(AND(X16=1,X17=12,AND(IFERROR(INDEX('Job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setup'!I$7:I$11,0)),"")&gt;=X$6)))),0,IF(WEEKDAY(X$6,1)=1,0,MAX(0,X17-(IF(IF(AND(IFERROR(INDEX('Job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8"),FALSE))))),8,10)))*X16))+((IF(OR(X16&lt;=0,NOT(OR(AND(IFERROR(INDEX('Job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8"),FALSE))))),8,10),X17)*X16)))-MIN(IF(OR(X16&lt;=0,NOT(OR(AND(IFERROR(INDEX('Job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8"),FALSE))))),8,10),X17)*X16)),MAX(0,40*MAX(1,X16)-(U18+V18+W18)))))</f>
        <v>0</v>
      </c>
      <c r="Y19" s="61">
        <f>IF(AND(Y16=1,Y17=12,AND(IFERROR(INDEX('Job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setup'!I$7:I$11,0)),"")=0))),2,IF(OR(Y16&lt;=0,NOT(OR(AND(IFERROR(INDEX('Job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setup'!I$7:I$11,0)),"")&gt;=Y$6)))),0,IF(WEEKDAY(Y$6,1)=1,0,MAX(0,Y17-(IF(IF(AND(IFERROR(INDEX('Job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8"),FALSE))))),8,10)))*Y16))+((IF(OR(Y16&lt;=0,NOT(OR(AND(IFERROR(INDEX('Job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8"),FALSE))))),8,10),Y17)*Y16)))-MIN(IF(OR(Y16&lt;=0,NOT(OR(AND(IFERROR(INDEX('Job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8"),FALSE))))),8,10),Y17)*Y16)),MAX(0,40*MAX(1,Y16)-(0)))))</f>
        <v>2</v>
      </c>
      <c r="Z19" s="61">
        <f>IF(AND(Z16=1,Z17=12,AND(IFERROR(INDEX('Job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setup'!I$7:I$11,0)),"")=0))),2,IF(OR(Z16&lt;=0,NOT(OR(AND(IFERROR(INDEX('Job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setup'!I$7:I$11,0)),"")&gt;=Z$6)))),0,IF(WEEKDAY(Z$6,1)=1,0,MAX(0,Z17-(IF(IF(AND(IFERROR(INDEX('Job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8"),FALSE))))),8,10)))*Z16))+((IF(OR(Z16&lt;=0,NOT(OR(AND(IFERROR(INDEX('Job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8"),FALSE))))),8,10),Z17)*Z16)))-MIN(IF(OR(Z16&lt;=0,NOT(OR(AND(IFERROR(INDEX('Job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8"),FALSE))))),8,10),Z17)*Z16)),MAX(0,40*MAX(1,Z16)-(Y18)))))</f>
        <v>2</v>
      </c>
      <c r="AA19" s="61">
        <f>IF(AND(AA16=1,AA17=12,AND(IFERROR(INDEX('Job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setup'!I$7:I$11,0)),"")=0))),2,IF(OR(AA16&lt;=0,NOT(OR(AND(IFERROR(INDEX('Job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setup'!I$7:I$11,0)),"")&gt;=AA$6)))),0,IF(WEEKDAY(AA$6,1)=1,0,MAX(0,AA17-(IF(IF(AND(IFERROR(INDEX('Job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8"),FALSE))))),8,10)))*AA16))+((IF(OR(AA16&lt;=0,NOT(OR(AND(IFERROR(INDEX('Job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8"),FALSE))))),8,10),AA17)*AA16)))-MIN(IF(OR(AA16&lt;=0,NOT(OR(AND(IFERROR(INDEX('Job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8"),FALSE))))),8,10),AA17)*AA16)),MAX(0,40*MAX(1,AA16)-(Y18+Z18)))))</f>
        <v>2</v>
      </c>
      <c r="AB19" s="61">
        <f>IF(AND(AB16=1,AB17=12,AND(IFERROR(INDEX('Job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setup'!I$7:I$11,0)),"")=0))),2,IF(OR(AB16&lt;=0,NOT(OR(AND(IFERROR(INDEX('Job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setup'!I$7:I$11,0)),"")&gt;=AB$6)))),0,IF(WEEKDAY(AB$6,1)=1,0,MAX(0,AB17-(IF(IF(AND(IFERROR(INDEX('Job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8"),FALSE))))),8,10)))*AB16))+((IF(OR(AB16&lt;=0,NOT(OR(AND(IFERROR(INDEX('Job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8"),FALSE))))),8,10),AB17)*AB16)))-MIN(IF(OR(AB16&lt;=0,NOT(OR(AND(IFERROR(INDEX('Job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8"),FALSE))))),8,10),AB17)*AB16)),MAX(0,40*MAX(1,AB16)-(Y18+Z18+AA18)))))</f>
        <v>2</v>
      </c>
      <c r="AC19" s="61">
        <f>IF(AND(AC16=1,AC17=12,AND(IFERROR(INDEX('Job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setup'!I$7:I$11,0)),"")=0))),12,IF(OR(AC16&lt;=0,NOT(OR(AND(IFERROR(INDEX('Job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setup'!I$7:I$11,0)),"")&gt;=AC$6)))),0,IF(WEEKDAY(AC$6,1)=1,0,MAX(0,AC17-(IF(IF(AND(IFERROR(INDEX('Job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8"),FALSE))))),8,10)))*AC16))+((IF(OR(AC16&lt;=0,NOT(OR(AND(IFERROR(INDEX('Job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8"),FALSE))))),8,10),AC17)*AC16)))-MIN(IF(OR(AC16&lt;=0,NOT(OR(AND(IFERROR(INDEX('Job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8"),FALSE))))),8,10),AC17)*AC16)),MAX(0,40*MAX(1,AC16)-(Y18+Z18+AA18+AB18)))))</f>
        <v>12</v>
      </c>
      <c r="AD19" s="62">
        <f>IF(AND(AD16=1,AD17=12,AND(IFERROR(INDEX('Job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setup'!I$7:I$11,0)),"")&gt;=AD$6)))),0,IF(WEEKDAY(AD$6,1)=1,0,MAX(0,AD17-(IF(IF(AND(IFERROR(INDEX('Job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8"),FALSE))))),8,10)))*AD16))+((IF(OR(AD16&lt;=0,NOT(OR(AND(IFERROR(INDEX('Job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8"),FALSE))))),8,10),AD17)*AD16)))-MIN(IF(OR(AD16&lt;=0,NOT(OR(AND(IFERROR(INDEX('Job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8"),FALSE))))),8,10),AD17)*AD16)),MAX(0,40*MAX(1,AD16)-(Y18+Z18+AA18+AB18+AC18)))))</f>
        <v>12</v>
      </c>
      <c r="AE19" s="62">
        <f>IF(AND(AE16=1,AE17=12,AND(IFERROR(INDEX('Job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setup'!I$7:I$11,0)),"")&gt;=AE$6)))),0,IF(WEEKDAY(AE$6,1)=1,0,MAX(0,AE17-(IF(IF(AND(IFERROR(INDEX('Job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8"),FALSE))))),8,10)))*AE16))+((IF(OR(AE16&lt;=0,NOT(OR(AND(IFERROR(INDEX('Job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8"),FALSE))))),8,10),AE17)*AE16)))-MIN(IF(OR(AE16&lt;=0,NOT(OR(AND(IFERROR(INDEX('Job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8"),FALSE))))),8,10),AE17)*AE16)),MAX(0,40*MAX(1,AE16)-(Y18+Z18+AA18+AB18+AC18+AD18)))))</f>
        <v>0</v>
      </c>
      <c r="AF19" s="61">
        <f>IF(AND(AF16=1,AF17=12,AND(IFERROR(INDEX('Job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setup'!I$7:I$11,0)),"")=0))),2,IF(OR(AF16&lt;=0,NOT(OR(AND(IFERROR(INDEX('Job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setup'!I$7:I$11,0)),"")&gt;=AF$6)))),0,IF(WEEKDAY(AF$6,1)=1,0,MAX(0,AF17-(IF(IF(AND(IFERROR(INDEX('Job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8"),FALSE))))),8,10)))*AF16))+((IF(OR(AF16&lt;=0,NOT(OR(AND(IFERROR(INDEX('Job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8"),FALSE))))),8,10),AF17)*AF16)))-MIN(IF(OR(AF16&lt;=0,NOT(OR(AND(IFERROR(INDEX('Job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8"),FALSE))))),8,10),AF17)*AF16)),MAX(0,40*MAX(1,AF16)-(0)))))</f>
        <v>2</v>
      </c>
      <c r="AG19" s="61">
        <f>IF(AND(AG16=1,AG17=12,AND(IFERROR(INDEX('Job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setup'!I$7:I$11,0)),"")=0))),2,IF(OR(AG16&lt;=0,NOT(OR(AND(IFERROR(INDEX('Job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setup'!I$7:I$11,0)),"")&gt;=AG$6)))),0,IF(WEEKDAY(AG$6,1)=1,0,MAX(0,AG17-(IF(IF(AND(IFERROR(INDEX('Job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8"),FALSE))))),8,10)))*AG16))+((IF(OR(AG16&lt;=0,NOT(OR(AND(IFERROR(INDEX('Job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8"),FALSE))))),8,10),AG17)*AG16)))-MIN(IF(OR(AG16&lt;=0,NOT(OR(AND(IFERROR(INDEX('Job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8"),FALSE))))),8,10),AG17)*AG16)),MAX(0,40*MAX(1,AG16)-(AF18)))))</f>
        <v>2</v>
      </c>
      <c r="AH19" s="61">
        <f>IF(AND(AH16=1,AH17=12,AND(IFERROR(INDEX('Job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setup'!I$7:I$11,0)),"")=0))),2,IF(OR(AH16&lt;=0,NOT(OR(AND(IFERROR(INDEX('Job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setup'!I$7:I$11,0)),"")&gt;=AH$6)))),0,IF(WEEKDAY(AH$6,1)=1,0,MAX(0,AH17-(IF(IF(AND(IFERROR(INDEX('Job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8"),FALSE))))),8,10)))*AH16))+((IF(OR(AH16&lt;=0,NOT(OR(AND(IFERROR(INDEX('Job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8"),FALSE))))),8,10),AH17)*AH16)))-MIN(IF(OR(AH16&lt;=0,NOT(OR(AND(IFERROR(INDEX('Job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8"),FALSE))))),8,10),AH17)*AH16)),MAX(0,40*MAX(1,AH16)-(AF18+AG18)))))</f>
        <v>2</v>
      </c>
      <c r="AI19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setup'!I$7:I$11,0)),"")&gt;=AI$6)))),0,IF(WEEKDAY(AI$6,1)=1,0,MAX(0,AI17-(IF(IF(AND(IFERROR(INDEX('Job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8"),FALSE))))),8,10)))*AI16))+((IF(OR(AI16&lt;=0,NOT(OR(AND(IFERROR(INDEX('Job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8"),FALSE))))),8,10),AI17)*AI16)))-MIN(IF(OR(AI16&lt;=0,NOT(OR(AND(IFERROR(INDEX('Job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8"),FALSE))))),8,10),AI17)*AI16)),MAX(0,40*MAX(1,AI16)-(0)))))</f>
        <v>0</v>
      </c>
      <c r="AJ19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setup'!I$7:I$11,0)),"")&gt;=AJ$6)))),0,IF(WEEKDAY(AJ$6,1)=1,0,MAX(0,AJ17-(IF(IF(AND(IFERROR(INDEX('Job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8"),FALSE))))),8,10)))*AJ16))+((IF(OR(AJ16&lt;=0,NOT(OR(AND(IFERROR(INDEX('Job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8"),FALSE))))),8,10),AJ17)*AJ16)))-MIN(IF(OR(AJ16&lt;=0,NOT(OR(AND(IFERROR(INDEX('Job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8"),FALSE))))),8,10),AJ17)*AJ16)),MAX(0,40*MAX(1,AJ16)-(AI18)))))</f>
        <v>0</v>
      </c>
      <c r="AK19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setup'!I$7:I$11,0)),"")&gt;=AK$6)))),0,IF(WEEKDAY(AK$6,1)=1,0,MAX(0,AK17-(IF(IF(AND(IFERROR(INDEX('Job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8"),FALSE))))),8,10)))*AK16))+((IF(OR(AK16&lt;=0,NOT(OR(AND(IFERROR(INDEX('Job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8"),FALSE))))),8,10),AK17)*AK16)))-MIN(IF(OR(AK16&lt;=0,NOT(OR(AND(IFERROR(INDEX('Job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8"),FALSE))))),8,10),AK17)*AK16)),MAX(0,40*MAX(1,AK16)-(AI18+AJ18)))))</f>
        <v>0</v>
      </c>
      <c r="AL19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setup'!I$7:I$11,0)),"")&gt;=AL$6)))),0,IF(WEEKDAY(AL$6,1)=1,0,MAX(0,AL17-(IF(IF(AND(IFERROR(INDEX('Job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8"),FALSE))))),8,10)))*AL16))+((IF(OR(AL16&lt;=0,NOT(OR(AND(IFERROR(INDEX('Job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8"),FALSE))))),8,10),AL17)*AL16)))-MIN(IF(OR(AL16&lt;=0,NOT(OR(AND(IFERROR(INDEX('Job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8"),FALSE))))),8,10),AL17)*AL16)),MAX(0,40*MAX(1,AL16)-(AI18+AJ18+AK18)))))</f>
        <v>0</v>
      </c>
      <c r="AM19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setup'!I$7:I$11,0)),"")&gt;=AM$6)))),0,IF(WEEKDAY(AM$6,1)=1,0,MAX(0,AM17-(IF(IF(AND(IFERROR(INDEX('Job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8"),FALSE))))),8,10)))*AM16))+((IF(OR(AM16&lt;=0,NOT(OR(AND(IFERROR(INDEX('Job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8"),FALSE))))),8,10),AM17)*AM16)))-MIN(IF(OR(AM16&lt;=0,NOT(OR(AND(IFERROR(INDEX('Job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8"),FALSE))))),8,10),AM17)*AM16)),MAX(0,40*MAX(1,AM16)-(0)))))</f>
        <v>0</v>
      </c>
      <c r="AN19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setup'!I$7:I$11,0)),"")&gt;=AN$6)))),0,IF(WEEKDAY(AN$6,1)=1,0,MAX(0,AN17-(IF(IF(AND(IFERROR(INDEX('Job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8"),FALSE))))),8,10)))*AN16))+((IF(OR(AN16&lt;=0,NOT(OR(AND(IFERROR(INDEX('Job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8"),FALSE))))),8,10),AN17)*AN16)))-MIN(IF(OR(AN16&lt;=0,NOT(OR(AND(IFERROR(INDEX('Job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8"),FALSE))))),8,10),AN17)*AN16)),MAX(0,40*MAX(1,AN16)-(AM18)))))</f>
        <v>0</v>
      </c>
      <c r="AO19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setup'!I$7:I$11,0)),"")&gt;=AO$6)))),0,IF(WEEKDAY(AO$6,1)=1,0,MAX(0,AO17-(IF(IF(AND(IFERROR(INDEX('Job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8"),FALSE))))),8,10)))*AO16))+((IF(OR(AO16&lt;=0,NOT(OR(AND(IFERROR(INDEX('Job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8"),FALSE))))),8,10),AO17)*AO16)))-MIN(IF(OR(AO16&lt;=0,NOT(OR(AND(IFERROR(INDEX('Job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8"),FALSE))))),8,10),AO17)*AO16)),MAX(0,40*MAX(1,AO16)-(AM18+AN18)))))</f>
        <v>0</v>
      </c>
      <c r="AP19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setup'!I$7:I$11,0)),"")&gt;=AP$6)))),0,IF(WEEKDAY(AP$6,1)=1,0,MAX(0,AP17-(IF(IF(AND(IFERROR(INDEX('Job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8"),FALSE))))),8,10)))*AP16))+((IF(OR(AP16&lt;=0,NOT(OR(AND(IFERROR(INDEX('Job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8"),FALSE))))),8,10),AP17)*AP16)))-MIN(IF(OR(AP16&lt;=0,NOT(OR(AND(IFERROR(INDEX('Job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8"),FALSE))))),8,10),AP17)*AP16)),MAX(0,40*MAX(1,AP16)-(AM18+AN18+AO18)))))</f>
        <v>0</v>
      </c>
      <c r="OU19" s="28" t="s">
        <v>67</v>
      </c>
    </row>
    <row r="20" ht="16" customHeight="1" spans="1:411" x14ac:dyDescent="0.25">
      <c r="A20" s="72"/>
      <c r="B20" s="44"/>
      <c r="C20" s="59">
        <f>H15*N(D20)</f>
        <v>4818</v>
      </c>
      <c r="D20" s="59">
        <f>IF(TRIM(B15)="","No rate",IFERROR(INDEX('Rate Tables'!E$7:E$161,MATCH(B15,'Rate Tables'!A$7:A$161,0)),"No rate"))</f>
        <v>200.75</v>
      </c>
      <c r="E20" s="53" t="s">
        <v>64</v>
      </c>
      <c r="F20" s="47"/>
      <c r="G20" s="47"/>
      <c r="H20" s="47"/>
      <c r="I20" s="47"/>
      <c r="J20" s="48"/>
      <c r="K20" s="60">
        <f>IF(AND(K16=1,K17=8,AND(IFERROR(INDEX('Job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setup'!I$7:I$11,0)),"")&gt;=K$6)))),0,IF(WEEKDAY(K$6,1)=1,K16*K17,0)))</f>
        <v>0</v>
      </c>
      <c r="L20" s="61">
        <f>IF(AND(L16=1,L17=8,AND(IFERROR(INDEX('Job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setup'!I$7:I$11,0)),"")&gt;=L$6)))),0,IF(WEEKDAY(L$6,1)=1,L16*L17,0)))</f>
        <v>0</v>
      </c>
      <c r="M20" s="61">
        <f>IF(AND(M16=1,M17=8,AND(IFERROR(INDEX('Job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setup'!I$7:I$11,0)),"")&gt;=M$6)))),0,IF(WEEKDAY(M$6,1)=1,M16*M17,0)))</f>
        <v>0</v>
      </c>
      <c r="N20" s="61">
        <f>IF(AND(N16=1,N17=8,AND(IFERROR(INDEX('Job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setup'!I$7:I$11,0)),"")&gt;=N$6)))),0,IF(WEEKDAY(N$6,1)=1,N16*N17,0)))</f>
        <v>0</v>
      </c>
      <c r="O20" s="61">
        <f>IF(AND(O16=1,O17=8,AND(IFERROR(INDEX('Job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setup'!I$7:I$11,0)),"")&gt;=O$6)))),0,IF(WEEKDAY(O$6,1)=1,O16*O17,0)))</f>
        <v>0</v>
      </c>
      <c r="P20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setup'!I$7:I$11,0)),"")&gt;=P$6)))),0,IF(WEEKDAY(P$6,1)=1,P16*P17,0)))</f>
        <v>0</v>
      </c>
      <c r="Q20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setup'!I$7:I$11,0)),"")&gt;=Q$6)))),0,IF(WEEKDAY(Q$6,1)=1,Q16*Q17,0)))</f>
        <v>0</v>
      </c>
      <c r="R20" s="61">
        <f>IF(AND(R16=1,R17=8,AND(IFERROR(INDEX('Job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setup'!I$7:I$11,0)),"")&gt;=R$6)))),0,IF(WEEKDAY(R$6,1)=1,R16*R17,0)))</f>
        <v>0</v>
      </c>
      <c r="S20" s="61">
        <f>IF(AND(S16=1,S17=8,AND(IFERROR(INDEX('Job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setup'!I$7:I$11,0)),"")&gt;=S$6)))),0,IF(WEEKDAY(S$6,1)=1,S16*S17,0)))</f>
        <v>0</v>
      </c>
      <c r="T20" s="61">
        <f>IF(AND(T16=1,T17=8,AND(IFERROR(INDEX('Job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setup'!I$7:I$11,0)),"")&gt;=T$6)))),0,IF(WEEKDAY(T$6,1)=1,T16*T17,0)))</f>
        <v>0</v>
      </c>
      <c r="U20" s="61">
        <f>IF(AND(U16=1,U17=12,AND(IFERROR(INDEX('Job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setup'!I$7:I$11,0)),"")&gt;=U$6)))),0,IF(WEEKDAY(U$6,1)=1,U16*U17,0)))</f>
        <v>0</v>
      </c>
      <c r="V20" s="61">
        <f>IF(AND(V16=1,V17=12,AND(IFERROR(INDEX('Job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setup'!I$7:I$11,0)),"")&gt;=V$6)))),0,IF(WEEKDAY(V$6,1)=1,V16*V17,0)))</f>
        <v>0</v>
      </c>
      <c r="W20" s="62">
        <f>IF(AND(W16=1,W17=12,AND(IFERROR(INDEX('Job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setup'!I$7:I$11,0)),"")&gt;=W$6)))),0,IF(WEEKDAY(W$6,1)=1,W16*W17,0)))</f>
        <v>0</v>
      </c>
      <c r="X20" s="62">
        <f>IF(AND(X16=1,X17=12,AND(IFERROR(INDEX('Job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setup'!I$7:I$11,0)),"")&gt;=X$6)))),0,IF(WEEKDAY(X$6,1)=1,X16*X17,0)))</f>
        <v>12</v>
      </c>
      <c r="Y20" s="61">
        <f>IF(AND(Y16=1,Y17=12,AND(IFERROR(INDEX('Job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setup'!I$7:I$11,0)),"")&gt;=Y$6)))),0,IF(WEEKDAY(Y$6,1)=1,Y16*Y17,0)))</f>
        <v>0</v>
      </c>
      <c r="Z20" s="61">
        <f>IF(AND(Z16=1,Z17=12,AND(IFERROR(INDEX('Job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setup'!I$7:I$11,0)),"")&gt;=Z$6)))),0,IF(WEEKDAY(Z$6,1)=1,Z16*Z17,0)))</f>
        <v>0</v>
      </c>
      <c r="AA20" s="61">
        <f>IF(AND(AA16=1,AA17=12,AND(IFERROR(INDEX('Job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setup'!I$7:I$11,0)),"")&gt;=AA$6)))),0,IF(WEEKDAY(AA$6,1)=1,AA16*AA17,0)))</f>
        <v>0</v>
      </c>
      <c r="AB20" s="61">
        <f>IF(AND(AB16=1,AB17=12,AND(IFERROR(INDEX('Job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setup'!I$7:I$11,0)),"")&gt;=AB$6)))),0,IF(WEEKDAY(AB$6,1)=1,AB16*AB17,0)))</f>
        <v>0</v>
      </c>
      <c r="AC20" s="61">
        <f>IF(AND(AC16=1,AC17=12,AND(IFERROR(INDEX('Job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setup'!I$7:I$11,0)),"")&gt;=AC$6)))),0,IF(WEEKDAY(AC$6,1)=1,AC16*AC17,0)))</f>
        <v>0</v>
      </c>
      <c r="AD20" s="62">
        <f>IF(AND(AD16=1,AD17=12,AND(IFERROR(INDEX('Job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setup'!I$7:I$11,0)),"")&gt;=AD$6)))),0,IF(WEEKDAY(AD$6,1)=1,AD16*AD17,0)))</f>
        <v>0</v>
      </c>
      <c r="AE20" s="62">
        <f>IF(AND(AE16=1,AE17=12,AND(IFERROR(INDEX('Job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setup'!I$7:I$11,0)),"")&gt;=AE$6)))),0,IF(WEEKDAY(AE$6,1)=1,AE16*AE17,0)))</f>
        <v>12</v>
      </c>
      <c r="AF20" s="61">
        <f>IF(AND(AF16=1,AF17=12,AND(IFERROR(INDEX('Job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setup'!I$7:I$11,0)),"")&gt;=AF$6)))),0,IF(WEEKDAY(AF$6,1)=1,AF16*AF17,0)))</f>
        <v>0</v>
      </c>
      <c r="AG20" s="61">
        <f>IF(AND(AG16=1,AG17=12,AND(IFERROR(INDEX('Job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setup'!I$7:I$11,0)),"")&gt;=AG$6)))),0,IF(WEEKDAY(AG$6,1)=1,AG16*AG17,0)))</f>
        <v>0</v>
      </c>
      <c r="AH20" s="61">
        <f>IF(AND(AH16=1,AH17=12,AND(IFERROR(INDEX('Job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setup'!I$7:I$11,0)),"")&gt;=AH$6)))),0,IF(WEEKDAY(AH$6,1)=1,AH16*AH17,0)))</f>
        <v>0</v>
      </c>
      <c r="AI20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setup'!I$7:I$11,0)),"")&gt;=AI$6)))),0,IF(WEEKDAY(AI$6,1)=1,AI16*AI17,0)))</f>
        <v>0</v>
      </c>
      <c r="AJ20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setup'!I$7:I$11,0)),"")&gt;=AJ$6)))),0,IF(WEEKDAY(AJ$6,1)=1,AJ16*AJ17,0)))</f>
        <v>0</v>
      </c>
      <c r="AK20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setup'!I$7:I$11,0)),"")&gt;=AK$6)))),0,IF(WEEKDAY(AK$6,1)=1,AK16*AK17,0)))</f>
        <v>0</v>
      </c>
      <c r="AL20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setup'!I$7:I$11,0)),"")&gt;=AL$6)))),0,IF(WEEKDAY(AL$6,1)=1,AL16*AL17,0)))</f>
        <v>0</v>
      </c>
      <c r="AM20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setup'!I$7:I$11,0)),"")&gt;=AM$6)))),0,IF(WEEKDAY(AM$6,1)=1,AM16*AM17,0)))</f>
        <v>0</v>
      </c>
      <c r="AN20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setup'!I$7:I$11,0)),"")&gt;=AN$6)))),0,IF(WEEKDAY(AN$6,1)=1,AN16*AN17,0)))</f>
        <v>0</v>
      </c>
      <c r="AO20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setup'!I$7:I$11,0)),"")&gt;=AO$6)))),0,IF(WEEKDAY(AO$6,1)=1,AO16*AO17,0)))</f>
        <v>0</v>
      </c>
      <c r="AP20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setup'!I$7:I$11,0)),"")&gt;=AP$6)))),0,IF(WEEKDAY(AP$6,1)=1,AP16*AP17,0)))</f>
        <v>0</v>
      </c>
      <c r="OU20" s="28" t="s">
        <v>67</v>
      </c>
    </row>
    <row r="21" ht="16" customHeight="1" spans="1:411" x14ac:dyDescent="0.25">
      <c r="A21" s="72"/>
      <c r="B21" s="44"/>
      <c r="C21" s="65">
        <f>I15*D21</f>
        <v>3080</v>
      </c>
      <c r="D21" s="65">
        <v>140</v>
      </c>
      <c r="E21" s="66" t="s">
        <v>65</v>
      </c>
      <c r="F21" s="47"/>
      <c r="G21" s="47"/>
      <c r="H21" s="47"/>
      <c r="I21" s="47"/>
      <c r="J21" s="48"/>
      <c r="K21" s="67">
        <v>1</v>
      </c>
      <c r="L21" s="68">
        <v>1</v>
      </c>
      <c r="M21" s="68">
        <v>1</v>
      </c>
      <c r="N21" s="68">
        <v>1</v>
      </c>
      <c r="O21" s="68">
        <v>1</v>
      </c>
      <c r="P21" s="69">
        <v>0</v>
      </c>
      <c r="Q21" s="69">
        <v>0</v>
      </c>
      <c r="R21" s="68">
        <v>1</v>
      </c>
      <c r="S21" s="68">
        <v>1</v>
      </c>
      <c r="T21" s="68">
        <v>1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67</v>
      </c>
    </row>
    <row r="22" ht="8" customHeight="1" spans="1:42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</row>
    <row r="23" ht="16" customHeight="1" spans="1:411" x14ac:dyDescent="0.25">
      <c r="A23" s="43" t="s">
        <v>57</v>
      </c>
      <c r="B23" s="44" t="s">
        <v>68</v>
      </c>
      <c r="C23" s="45">
        <f>J23</f>
        <v>33109.96000000001</v>
      </c>
      <c r="D23" s="46"/>
      <c r="E23" s="46"/>
      <c r="F23" s="47">
        <f>SUM(K26:AP26)</f>
        <v>212</v>
      </c>
      <c r="G23" s="47">
        <f>SUM(K27:AP27)</f>
        <v>44</v>
      </c>
      <c r="H23" s="47">
        <f>SUM(K28:AP28)</f>
        <v>24</v>
      </c>
      <c r="I23" s="47">
        <f>SUM(K29:AP29)</f>
        <v>22</v>
      </c>
      <c r="J23" s="48">
        <f>C26+C27+C28</f>
        <v>33109.96000000001</v>
      </c>
      <c r="K23" s="49"/>
      <c r="L23" s="50"/>
      <c r="M23" s="50"/>
      <c r="N23" s="50"/>
      <c r="O23" s="50"/>
      <c r="P23" s="51"/>
      <c r="Q23" s="51"/>
      <c r="R23" s="50"/>
      <c r="S23" s="50"/>
      <c r="T23" s="50"/>
      <c r="U23" s="50"/>
      <c r="V23" s="50"/>
      <c r="W23" s="51"/>
      <c r="X23" s="51"/>
      <c r="Y23" s="50"/>
      <c r="Z23" s="50"/>
      <c r="AA23" s="50"/>
      <c r="AB23" s="50"/>
      <c r="AC23" s="50"/>
      <c r="AD23" s="51"/>
      <c r="AE23" s="51"/>
      <c r="AF23" s="50"/>
      <c r="AG23" s="50"/>
      <c r="AH23" s="50"/>
      <c r="AI23" s="50"/>
      <c r="AJ23" s="50"/>
      <c r="AK23" s="51"/>
      <c r="AL23" s="51"/>
      <c r="AM23" s="50"/>
      <c r="AN23" s="50"/>
      <c r="AO23" s="50"/>
      <c r="AP23" s="52"/>
      <c r="OU23" s="28" t="s">
        <v>69</v>
      </c>
    </row>
    <row r="24" ht="16" customHeight="1" spans="1:411" x14ac:dyDescent="0.25">
      <c r="A24" s="43"/>
      <c r="B24" s="44"/>
      <c r="C24" s="45"/>
      <c r="D24" s="46"/>
      <c r="E24" s="53" t="s">
        <v>60</v>
      </c>
      <c r="F24" s="47"/>
      <c r="G24" s="47"/>
      <c r="H24" s="47"/>
      <c r="I24" s="47"/>
      <c r="J24" s="48"/>
      <c r="K24" s="54">
        <v>1</v>
      </c>
      <c r="L24" s="55">
        <v>1</v>
      </c>
      <c r="M24" s="55">
        <v>1</v>
      </c>
      <c r="N24" s="55">
        <v>1</v>
      </c>
      <c r="O24" s="55">
        <v>1</v>
      </c>
      <c r="P24" s="56">
        <v>0</v>
      </c>
      <c r="Q24" s="56">
        <v>0</v>
      </c>
      <c r="R24" s="55">
        <v>1</v>
      </c>
      <c r="S24" s="55">
        <v>1</v>
      </c>
      <c r="T24" s="55">
        <v>1</v>
      </c>
      <c r="U24" s="55">
        <v>1</v>
      </c>
      <c r="V24" s="55">
        <v>1</v>
      </c>
      <c r="W24" s="56">
        <v>1</v>
      </c>
      <c r="X24" s="56">
        <v>1</v>
      </c>
      <c r="Y24" s="55">
        <v>1</v>
      </c>
      <c r="Z24" s="55">
        <v>1</v>
      </c>
      <c r="AA24" s="55">
        <v>1</v>
      </c>
      <c r="AB24" s="55">
        <v>1</v>
      </c>
      <c r="AC24" s="55">
        <v>1</v>
      </c>
      <c r="AD24" s="56">
        <v>1</v>
      </c>
      <c r="AE24" s="56">
        <v>1</v>
      </c>
      <c r="AF24" s="55">
        <v>1</v>
      </c>
      <c r="AG24" s="55">
        <v>1</v>
      </c>
      <c r="AH24" s="55">
        <v>1</v>
      </c>
      <c r="AI24" s="55">
        <v>1</v>
      </c>
      <c r="AJ24" s="55">
        <v>1</v>
      </c>
      <c r="AK24" s="56">
        <v>0</v>
      </c>
      <c r="AL24" s="56">
        <v>0</v>
      </c>
      <c r="AM24" s="55">
        <v>1</v>
      </c>
      <c r="AN24" s="55">
        <v>1</v>
      </c>
      <c r="AO24" s="55">
        <v>1</v>
      </c>
      <c r="AP24" s="57">
        <v>1</v>
      </c>
      <c r="OU24" s="58" t="s">
        <v>69</v>
      </c>
    </row>
    <row r="25" ht="16" customHeight="1" spans="1:411" x14ac:dyDescent="0.25">
      <c r="A25" s="43"/>
      <c r="B25" s="44"/>
      <c r="C25" s="45"/>
      <c r="D25" s="46"/>
      <c r="E25" s="53" t="s">
        <v>61</v>
      </c>
      <c r="F25" s="47"/>
      <c r="G25" s="47"/>
      <c r="H25" s="47"/>
      <c r="I25" s="47"/>
      <c r="J25" s="48"/>
      <c r="K25" s="54">
        <v>8</v>
      </c>
      <c r="L25" s="55">
        <v>8</v>
      </c>
      <c r="M25" s="55">
        <v>8</v>
      </c>
      <c r="N25" s="55">
        <v>8</v>
      </c>
      <c r="O25" s="55">
        <v>8</v>
      </c>
      <c r="P25" s="56">
        <v>0</v>
      </c>
      <c r="Q25" s="56">
        <v>0</v>
      </c>
      <c r="R25" s="55">
        <v>8</v>
      </c>
      <c r="S25" s="55">
        <v>8</v>
      </c>
      <c r="T25" s="55">
        <v>8</v>
      </c>
      <c r="U25" s="55">
        <v>12</v>
      </c>
      <c r="V25" s="55">
        <v>12</v>
      </c>
      <c r="W25" s="56">
        <v>12</v>
      </c>
      <c r="X25" s="56">
        <v>12</v>
      </c>
      <c r="Y25" s="55">
        <v>12</v>
      </c>
      <c r="Z25" s="55">
        <v>12</v>
      </c>
      <c r="AA25" s="55">
        <v>12</v>
      </c>
      <c r="AB25" s="55">
        <v>12</v>
      </c>
      <c r="AC25" s="55">
        <v>12</v>
      </c>
      <c r="AD25" s="56">
        <v>12</v>
      </c>
      <c r="AE25" s="56">
        <v>12</v>
      </c>
      <c r="AF25" s="55">
        <v>12</v>
      </c>
      <c r="AG25" s="55">
        <v>12</v>
      </c>
      <c r="AH25" s="55">
        <v>12</v>
      </c>
      <c r="AI25" s="55">
        <v>8</v>
      </c>
      <c r="AJ25" s="55">
        <v>8</v>
      </c>
      <c r="AK25" s="56">
        <v>0</v>
      </c>
      <c r="AL25" s="56">
        <v>0</v>
      </c>
      <c r="AM25" s="55">
        <v>8</v>
      </c>
      <c r="AN25" s="55">
        <v>8</v>
      </c>
      <c r="AO25" s="55">
        <v>8</v>
      </c>
      <c r="AP25" s="57">
        <v>8</v>
      </c>
      <c r="OU25" s="58" t="s">
        <v>69</v>
      </c>
    </row>
    <row r="26" ht="16" customHeight="1" spans="1:411" x14ac:dyDescent="0.25">
      <c r="A26" s="43"/>
      <c r="B26" s="44"/>
      <c r="C26" s="59">
        <f>F23*N(D26)</f>
        <v>22421.120000000003</v>
      </c>
      <c r="D26" s="59">
        <f>IF(TRIM(B23)="","No rate",IFERROR(INDEX('Rate Tables'!C$7:C$161,MATCH(B23,'Rate Tables'!A$7:A$161,0)),"No rate"))</f>
        <v>105.76</v>
      </c>
      <c r="E26" s="53" t="s">
        <v>62</v>
      </c>
      <c r="F26" s="47"/>
      <c r="G26" s="47"/>
      <c r="H26" s="47"/>
      <c r="I26" s="47"/>
      <c r="J26" s="48"/>
      <c r="K26" s="60">
        <f>IF(AND(K24=1,K25=8,AND(IFERROR(INDEX('Job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hours")),8,MIN(IF(OR(K24&lt;=0,NOT(OR(AND(IFERROR(INDEX('Job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8"),FALSE))))),8,10),K25)*K24)),MAX(0,40*MAX(1,K24)-(0))))</f>
        <v>8</v>
      </c>
      <c r="L26" s="61">
        <f>IF(AND(L24=1,L25=8,AND(IFERROR(INDEX('Job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hours")),8,MIN(IF(OR(L24&lt;=0,NOT(OR(AND(IFERROR(INDEX('Job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8"),FALSE))))),8,10),L25)*L24)),MAX(0,40*MAX(1,L24)-(K26))))</f>
        <v>8</v>
      </c>
      <c r="M26" s="61">
        <f>IF(AND(M24=1,M25=8,AND(IFERROR(INDEX('Job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hours")),8,MIN(IF(OR(M24&lt;=0,NOT(OR(AND(IFERROR(INDEX('Job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8"),FALSE))))),8,10),M25)*M24)),MAX(0,40*MAX(1,M24)-(K26+L26))))</f>
        <v>8</v>
      </c>
      <c r="N26" s="61">
        <f>IF(AND(N24=1,N25=8,AND(IFERROR(INDEX('Job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hours")),8,MIN(IF(OR(N24&lt;=0,NOT(OR(AND(IFERROR(INDEX('Job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8"),FALSE))))),8,10),N25)*N24)),MAX(0,40*MAX(1,N24)-(K26+L26+M26))))</f>
        <v>8</v>
      </c>
      <c r="O26" s="61">
        <f>IF(AND(O24=1,O25=8,AND(IFERROR(INDEX('Job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hours")),8,MIN(IF(OR(O24&lt;=0,NOT(OR(AND(IFERROR(INDEX('Job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8"),FALSE))))),8,10),O25)*O24)),MAX(0,40*MAX(1,O24)-(K26+L26+M26+N26))))</f>
        <v>8</v>
      </c>
      <c r="P26" s="62">
        <f>IF(AND(P24=0,P25=0,AND(IFERROR(INDEX('Job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hours")),0,MIN(IF(OR(P24&lt;=0,NOT(OR(AND(IFERROR(INDEX('Job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8"),FALSE))))),8,10),P25)*P24)),MAX(0,40*MAX(1,P24)-(0))))</f>
        <v>0</v>
      </c>
      <c r="Q26" s="62">
        <f>IF(AND(Q24=0,Q25=0,AND(IFERROR(INDEX('Job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hours")),0,MIN(IF(OR(Q24&lt;=0,NOT(OR(AND(IFERROR(INDEX('Job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8"),FALSE))))),8,10),Q25)*Q24)),MAX(0,40*MAX(1,Q24)-(P26))))</f>
        <v>0</v>
      </c>
      <c r="R26" s="61">
        <f>IF(AND(R24=1,R25=8,AND(IFERROR(INDEX('Job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hours")),8,MIN(IF(OR(R24&lt;=0,NOT(OR(AND(IFERROR(INDEX('Job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8"),FALSE))))),8,10),R25)*R24)),MAX(0,40*MAX(1,R24)-(0))))</f>
        <v>8</v>
      </c>
      <c r="S26" s="61">
        <f>IF(AND(S24=1,S25=8,AND(IFERROR(INDEX('Job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hours")),8,MIN(IF(OR(S24&lt;=0,NOT(OR(AND(IFERROR(INDEX('Job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8"),FALSE))))),8,10),S25)*S24)),MAX(0,40*MAX(1,S24)-(R26))))</f>
        <v>8</v>
      </c>
      <c r="T26" s="61">
        <f>IF(AND(T24=1,T25=8,AND(IFERROR(INDEX('Job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hours")),8,MIN(IF(OR(T24&lt;=0,NOT(OR(AND(IFERROR(INDEX('Job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8"),FALSE))))),8,10),T25)*T24)),MAX(0,40*MAX(1,T24)-(R26+S26))))</f>
        <v>8</v>
      </c>
      <c r="U26" s="61">
        <f>IF(AND(U24=1,U25=12,AND(IFERROR(INDEX('Job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setup'!I$7:I$11,0)),"")=0))),10,MIN(IF(OR(U24&lt;=0,NOT(OR(AND(IFERROR(INDEX('Job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8"),FALSE))))),8,10),U25)*U24)),MAX(0,40*MAX(1,U24)-(0))))</f>
        <v>10</v>
      </c>
      <c r="V26" s="61">
        <f>IF(AND(V24=1,V25=12,AND(IFERROR(INDEX('Job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setup'!I$7:I$11,0)),"")=0))),10,MIN(IF(OR(V24&lt;=0,NOT(OR(AND(IFERROR(INDEX('Job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8"),FALSE))))),8,10),V25)*V24)),MAX(0,40*MAX(1,V24)-(U26))))</f>
        <v>10</v>
      </c>
      <c r="W26" s="62">
        <f>IF(AND(W24=1,W25=12,AND(IFERROR(INDEX('Job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setup'!I$7:I$11,0)),"")=0))),10,MIN(IF(OR(W24&lt;=0,NOT(OR(AND(IFERROR(INDEX('Job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8"),FALSE))))),8,10),W25)*W24)),MAX(0,40*MAX(1,W24)-(U26+V26))))</f>
        <v>10</v>
      </c>
      <c r="X26" s="62">
        <f>IF(AND(X24=1,X25=12,AND(IFERROR(INDEX('Job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setup'!I$7:I$11,0)),"")=0))),0,MIN(IF(OR(X24&lt;=0,NOT(OR(AND(IFERROR(INDEX('Job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8"),FALSE))))),8,10),X25)*X24)),MAX(0,40*MAX(1,X24)-(U26+V26+W26))))</f>
        <v>0</v>
      </c>
      <c r="Y26" s="61">
        <f>IF(AND(Y24=1,Y25=12,AND(IFERROR(INDEX('Job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setup'!I$7:I$11,0)),"")=0))),10,MIN(IF(OR(Y24&lt;=0,NOT(OR(AND(IFERROR(INDEX('Job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8"),FALSE))))),8,10),Y25)*Y24)),MAX(0,40*MAX(1,Y24)-(0))))</f>
        <v>10</v>
      </c>
      <c r="Z26" s="61">
        <f>IF(AND(Z24=1,Z25=12,AND(IFERROR(INDEX('Job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setup'!I$7:I$11,0)),"")=0))),10,MIN(IF(OR(Z24&lt;=0,NOT(OR(AND(IFERROR(INDEX('Job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8"),FALSE))))),8,10),Z25)*Z24)),MAX(0,40*MAX(1,Z24)-(Y26))))</f>
        <v>10</v>
      </c>
      <c r="AA26" s="61">
        <f>IF(AND(AA24=1,AA25=12,AND(IFERROR(INDEX('Job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setup'!I$7:I$11,0)),"")=0))),10,MIN(IF(OR(AA24&lt;=0,NOT(OR(AND(IFERROR(INDEX('Job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8"),FALSE))))),8,10),AA25)*AA24)),MAX(0,40*MAX(1,AA24)-(Y26+Z26))))</f>
        <v>10</v>
      </c>
      <c r="AB26" s="61">
        <f>IF(AND(AB24=1,AB25=12,AND(IFERROR(INDEX('Job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setup'!I$7:I$11,0)),"")=0))),10,MIN(IF(OR(AB24&lt;=0,NOT(OR(AND(IFERROR(INDEX('Job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8"),FALSE))))),8,10),AB25)*AB24)),MAX(0,40*MAX(1,AB24)-(Y26+Z26+AA26))))</f>
        <v>10</v>
      </c>
      <c r="AC26" s="61">
        <f>IF(AND(AC24=1,AC25=12,AND(IFERROR(INDEX('Job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setup'!I$7:I$11,0)),"")=0))),0,MIN(IF(OR(AC24&lt;=0,NOT(OR(AND(IFERROR(INDEX('Job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8"),FALSE))))),8,10),AC25)*AC24)),MAX(0,40*MAX(1,AC24)-(Y26+Z26+AA26+AB26))))</f>
        <v>0</v>
      </c>
      <c r="AD26" s="62">
        <f>IF(AND(AD24=1,AD25=12,AND(IFERROR(INDEX('Job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setup'!I$7:I$11,0)),"")=0))),0,MIN(IF(OR(AD24&lt;=0,NOT(OR(AND(IFERROR(INDEX('Job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8"),FALSE))))),8,10),AD25)*AD24)),MAX(0,40*MAX(1,AD24)-(Y26+Z26+AA26+AB26+AC26))))</f>
        <v>0</v>
      </c>
      <c r="AE26" s="62">
        <f>IF(AND(AE24=1,AE25=12,AND(IFERROR(INDEX('Job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setup'!I$7:I$11,0)),"")=0))),0,MIN(IF(OR(AE24&lt;=0,NOT(OR(AND(IFERROR(INDEX('Job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8"),FALSE))))),8,10),AE25)*AE24)),MAX(0,40*MAX(1,AE24)-(Y26+Z26+AA26+AB26+AC26+AD26))))</f>
        <v>0</v>
      </c>
      <c r="AF26" s="61">
        <f>IF(AND(AF24=1,AF25=12,AND(IFERROR(INDEX('Job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setup'!I$7:I$11,0)),"")=0))),10,MIN(IF(OR(AF24&lt;=0,NOT(OR(AND(IFERROR(INDEX('Job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8"),FALSE))))),8,10),AF25)*AF24)),MAX(0,40*MAX(1,AF24)-(0))))</f>
        <v>10</v>
      </c>
      <c r="AG26" s="61">
        <f>IF(AND(AG24=1,AG25=12,AND(IFERROR(INDEX('Job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setup'!I$7:I$11,0)),"")=0))),10,MIN(IF(OR(AG24&lt;=0,NOT(OR(AND(IFERROR(INDEX('Job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8"),FALSE))))),8,10),AG25)*AG24)),MAX(0,40*MAX(1,AG24)-(AF26))))</f>
        <v>10</v>
      </c>
      <c r="AH26" s="61">
        <f>IF(AND(AH24=1,AH25=12,AND(IFERROR(INDEX('Job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setup'!I$7:I$11,0)),"")=0))),10,MIN(IF(OR(AH24&lt;=0,NOT(OR(AND(IFERROR(INDEX('Job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8"),FALSE))))),8,10),AH25)*AH24)),MAX(0,40*MAX(1,AH24)-(AF26+AG26))))</f>
        <v>10</v>
      </c>
      <c r="AI26" s="61">
        <f>IF(AND(AI24=1,AI25=8,AND(IFERROR(INDEX('Job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hours")),8,MIN(IF(OR(AI24&lt;=0,NOT(OR(AND(IFERROR(INDEX('Job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8"),FALSE))))),8,10),AI25)*AI24)),MAX(0,40*MAX(1,AI24)-(0))))</f>
        <v>8</v>
      </c>
      <c r="AJ26" s="61">
        <f>IF(AND(AJ24=1,AJ25=8,AND(IFERROR(INDEX('Job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hours")),8,MIN(IF(OR(AJ24&lt;=0,NOT(OR(AND(IFERROR(INDEX('Job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8"),FALSE))))),8,10),AJ25)*AJ24)),MAX(0,40*MAX(1,AJ24)-(AI26))))</f>
        <v>8</v>
      </c>
      <c r="AK26" s="62">
        <f>IF(AND(AK24=0,AK25=0,AND(IFERROR(INDEX('Job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hours")),0,MIN(IF(OR(AK24&lt;=0,NOT(OR(AND(IFERROR(INDEX('Job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8"),FALSE))))),8,10),AK25)*AK24)),MAX(0,40*MAX(1,AK24)-(0))))</f>
        <v>0</v>
      </c>
      <c r="AL26" s="62">
        <f>IF(AND(AL24=0,AL25=0,AND(IFERROR(INDEX('Job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hours")),0,MIN(IF(OR(AL24&lt;=0,NOT(OR(AND(IFERROR(INDEX('Job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8"),FALSE))))),8,10),AL25)*AL24)),MAX(0,40*MAX(1,AL24)-(AK26))))</f>
        <v>0</v>
      </c>
      <c r="AM26" s="61">
        <f>IF(AND(AM24=1,AM25=8,AND(IFERROR(INDEX('Job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hours")),8,MIN(IF(OR(AM24&lt;=0,NOT(OR(AND(IFERROR(INDEX('Job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8"),FALSE))))),8,10),AM25)*AM24)),MAX(0,40*MAX(1,AM24)-(0))))</f>
        <v>8</v>
      </c>
      <c r="AN26" s="61">
        <f>IF(AND(AN24=1,AN25=8,AND(IFERROR(INDEX('Job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hours")),8,MIN(IF(OR(AN24&lt;=0,NOT(OR(AND(IFERROR(INDEX('Job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8"),FALSE))))),8,10),AN25)*AN24)),MAX(0,40*MAX(1,AN24)-(AM26))))</f>
        <v>8</v>
      </c>
      <c r="AO26" s="61">
        <f>IF(AND(AO24=1,AO25=8,AND(IFERROR(INDEX('Job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hours")),8,MIN(IF(OR(AO24&lt;=0,NOT(OR(AND(IFERROR(INDEX('Job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8"),FALSE))))),8,10),AO25)*AO24)),MAX(0,40*MAX(1,AO24)-(AM26+AN26))))</f>
        <v>8</v>
      </c>
      <c r="AP26" s="63">
        <f>IF(AND(AP24=1,AP25=8,AND(IFERROR(INDEX('Job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hours")),8,MIN(IF(OR(AP24&lt;=0,NOT(OR(AND(IFERROR(INDEX('Job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8"),FALSE))))),8,10),AP25)*AP24)),MAX(0,40*MAX(1,AP24)-(AM26+AN26+AO26))))</f>
        <v>8</v>
      </c>
      <c r="OU26" s="28" t="s">
        <v>69</v>
      </c>
    </row>
    <row r="27" ht="16" customHeight="1" spans="1:411" x14ac:dyDescent="0.25">
      <c r="A27" s="43"/>
      <c r="B27" s="44"/>
      <c r="C27" s="64">
        <f>G23*N(D27)</f>
        <v>6325.88</v>
      </c>
      <c r="D27" s="64">
        <f>IF(TRIM(B23)="","No rate",IFERROR(INDEX('Rate Tables'!D$7:D$161,MATCH(B23,'Rate Tables'!A$7:A$161,0)),"No rate"))</f>
        <v>143.77</v>
      </c>
      <c r="E27" s="53" t="s">
        <v>63</v>
      </c>
      <c r="F27" s="47"/>
      <c r="G27" s="47"/>
      <c r="H27" s="47"/>
      <c r="I27" s="47"/>
      <c r="J27" s="48"/>
      <c r="K27" s="60">
        <f>IF(AND(K24=1,K25=8,AND(IFERROR(INDEX('Job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hours")),0,IF(OR(K24&lt;=0,NOT(OR(AND(IFERROR(INDEX('Job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setup'!I$7:I$11,0)),"")&gt;=K$6)))),0,IF(WEEKDAY(K$6,1)=1,0,MAX(0,K25-(IF(IF(AND(IFERROR(INDEX('Job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8"),FALSE))))),8,10)))*K24))+((IF(OR(K24&lt;=0,NOT(OR(AND(IFERROR(INDEX('Job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8"),FALSE))))),8,10),K25)*K24)))-MIN(IF(OR(K24&lt;=0,NOT(OR(AND(IFERROR(INDEX('Job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8"),FALSE))))),8,10),K25)*K24)),MAX(0,40*MAX(1,K24)-(0)))))</f>
        <v>0</v>
      </c>
      <c r="L27" s="61">
        <f>IF(AND(L24=1,L25=8,AND(IFERROR(INDEX('Job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hours")),0,IF(OR(L24&lt;=0,NOT(OR(AND(IFERROR(INDEX('Job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setup'!I$7:I$11,0)),"")&gt;=L$6)))),0,IF(WEEKDAY(L$6,1)=1,0,MAX(0,L25-(IF(IF(AND(IFERROR(INDEX('Job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8"),FALSE))))),8,10)))*L24))+((IF(OR(L24&lt;=0,NOT(OR(AND(IFERROR(INDEX('Job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8"),FALSE))))),8,10),L25)*L24)))-MIN(IF(OR(L24&lt;=0,NOT(OR(AND(IFERROR(INDEX('Job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8"),FALSE))))),8,10),L25)*L24)),MAX(0,40*MAX(1,L24)-(K26)))))</f>
        <v>0</v>
      </c>
      <c r="M27" s="61">
        <f>IF(AND(M24=1,M25=8,AND(IFERROR(INDEX('Job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hours")),0,IF(OR(M24&lt;=0,NOT(OR(AND(IFERROR(INDEX('Job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setup'!I$7:I$11,0)),"")&gt;=M$6)))),0,IF(WEEKDAY(M$6,1)=1,0,MAX(0,M25-(IF(IF(AND(IFERROR(INDEX('Job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8"),FALSE))))),8,10)))*M24))+((IF(OR(M24&lt;=0,NOT(OR(AND(IFERROR(INDEX('Job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8"),FALSE))))),8,10),M25)*M24)))-MIN(IF(OR(M24&lt;=0,NOT(OR(AND(IFERROR(INDEX('Job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8"),FALSE))))),8,10),M25)*M24)),MAX(0,40*MAX(1,M24)-(K26+L26)))))</f>
        <v>0</v>
      </c>
      <c r="N27" s="61">
        <f>IF(AND(N24=1,N25=8,AND(IFERROR(INDEX('Job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hours")),0,IF(OR(N24&lt;=0,NOT(OR(AND(IFERROR(INDEX('Job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setup'!I$7:I$11,0)),"")&gt;=N$6)))),0,IF(WEEKDAY(N$6,1)=1,0,MAX(0,N25-(IF(IF(AND(IFERROR(INDEX('Job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8"),FALSE))))),8,10)))*N24))+((IF(OR(N24&lt;=0,NOT(OR(AND(IFERROR(INDEX('Job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8"),FALSE))))),8,10),N25)*N24)))-MIN(IF(OR(N24&lt;=0,NOT(OR(AND(IFERROR(INDEX('Job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8"),FALSE))))),8,10),N25)*N24)),MAX(0,40*MAX(1,N24)-(K26+L26+M26)))))</f>
        <v>0</v>
      </c>
      <c r="O27" s="61">
        <f>IF(AND(O24=1,O25=8,AND(IFERROR(INDEX('Job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hours")),0,IF(OR(O24&lt;=0,NOT(OR(AND(IFERROR(INDEX('Job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setup'!I$7:I$11,0)),"")&gt;=O$6)))),0,IF(WEEKDAY(O$6,1)=1,0,MAX(0,O25-(IF(IF(AND(IFERROR(INDEX('Job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8"),FALSE))))),8,10)))*O24))+((IF(OR(O24&lt;=0,NOT(OR(AND(IFERROR(INDEX('Job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8"),FALSE))))),8,10),O25)*O24)))-MIN(IF(OR(O24&lt;=0,NOT(OR(AND(IFERROR(INDEX('Job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8"),FALSE))))),8,10),O25)*O24)),MAX(0,40*MAX(1,O24)-(K26+L26+M26+N26)))))</f>
        <v>0</v>
      </c>
      <c r="P27" s="62">
        <f>IF(AND(P24=0,P25=0,AND(IFERROR(INDEX('Job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hours")),0,IF(OR(P24&lt;=0,NOT(OR(AND(IFERROR(INDEX('Job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setup'!I$7:I$11,0)),"")&gt;=P$6)))),0,IF(WEEKDAY(P$6,1)=1,0,MAX(0,P25-(IF(IF(AND(IFERROR(INDEX('Job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8"),FALSE))))),8,10)))*P24))+((IF(OR(P24&lt;=0,NOT(OR(AND(IFERROR(INDEX('Job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8"),FALSE))))),8,10),P25)*P24)))-MIN(IF(OR(P24&lt;=0,NOT(OR(AND(IFERROR(INDEX('Job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8"),FALSE))))),8,10),P25)*P24)),MAX(0,40*MAX(1,P24)-(0)))))</f>
        <v>0</v>
      </c>
      <c r="Q27" s="62">
        <f>IF(AND(Q24=0,Q25=0,AND(IFERROR(INDEX('Job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hours")),0,IF(OR(Q24&lt;=0,NOT(OR(AND(IFERROR(INDEX('Job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setup'!I$7:I$11,0)),"")&gt;=Q$6)))),0,IF(WEEKDAY(Q$6,1)=1,0,MAX(0,Q25-(IF(IF(AND(IFERROR(INDEX('Job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8"),FALSE))))),8,10)))*Q24))+((IF(OR(Q24&lt;=0,NOT(OR(AND(IFERROR(INDEX('Job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8"),FALSE))))),8,10),Q25)*Q24)))-MIN(IF(OR(Q24&lt;=0,NOT(OR(AND(IFERROR(INDEX('Job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8"),FALSE))))),8,10),Q25)*Q24)),MAX(0,40*MAX(1,Q24)-(P26)))))</f>
        <v>0</v>
      </c>
      <c r="R27" s="61">
        <f>IF(AND(R24=1,R25=8,AND(IFERROR(INDEX('Job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hours")),0,IF(OR(R24&lt;=0,NOT(OR(AND(IFERROR(INDEX('Job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setup'!I$7:I$11,0)),"")&gt;=R$6)))),0,IF(WEEKDAY(R$6,1)=1,0,MAX(0,R25-(IF(IF(AND(IFERROR(INDEX('Job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8"),FALSE))))),8,10)))*R24))+((IF(OR(R24&lt;=0,NOT(OR(AND(IFERROR(INDEX('Job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8"),FALSE))))),8,10),R25)*R24)))-MIN(IF(OR(R24&lt;=0,NOT(OR(AND(IFERROR(INDEX('Job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8"),FALSE))))),8,10),R25)*R24)),MAX(0,40*MAX(1,R24)-(0)))))</f>
        <v>0</v>
      </c>
      <c r="S27" s="61">
        <f>IF(AND(S24=1,S25=8,AND(IFERROR(INDEX('Job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hours")),0,IF(OR(S24&lt;=0,NOT(OR(AND(IFERROR(INDEX('Job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setup'!I$7:I$11,0)),"")&gt;=S$6)))),0,IF(WEEKDAY(S$6,1)=1,0,MAX(0,S25-(IF(IF(AND(IFERROR(INDEX('Job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8"),FALSE))))),8,10)))*S24))+((IF(OR(S24&lt;=0,NOT(OR(AND(IFERROR(INDEX('Job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8"),FALSE))))),8,10),S25)*S24)))-MIN(IF(OR(S24&lt;=0,NOT(OR(AND(IFERROR(INDEX('Job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8"),FALSE))))),8,10),S25)*S24)),MAX(0,40*MAX(1,S24)-(R26)))))</f>
        <v>0</v>
      </c>
      <c r="T27" s="61">
        <f>IF(AND(T24=1,T25=8,AND(IFERROR(INDEX('Job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hours")),0,IF(OR(T24&lt;=0,NOT(OR(AND(IFERROR(INDEX('Job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setup'!I$7:I$11,0)),"")&gt;=T$6)))),0,IF(WEEKDAY(T$6,1)=1,0,MAX(0,T25-(IF(IF(AND(IFERROR(INDEX('Job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8"),FALSE))))),8,10)))*T24))+((IF(OR(T24&lt;=0,NOT(OR(AND(IFERROR(INDEX('Job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8"),FALSE))))),8,10),T25)*T24)))-MIN(IF(OR(T24&lt;=0,NOT(OR(AND(IFERROR(INDEX('Job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8"),FALSE))))),8,10),T25)*T24)),MAX(0,40*MAX(1,T24)-(R26+S26)))))</f>
        <v>0</v>
      </c>
      <c r="U27" s="61">
        <f>IF(AND(U24=1,U25=12,AND(IFERROR(INDEX('Job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setup'!I$7:I$11,0)),"")=0))),2,IF(OR(U24&lt;=0,NOT(OR(AND(IFERROR(INDEX('Job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setup'!I$7:I$11,0)),"")&gt;=U$6)))),0,IF(WEEKDAY(U$6,1)=1,0,MAX(0,U25-(IF(IF(AND(IFERROR(INDEX('Job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8"),FALSE))))),8,10)))*U24))+((IF(OR(U24&lt;=0,NOT(OR(AND(IFERROR(INDEX('Job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8"),FALSE))))),8,10),U25)*U24)))-MIN(IF(OR(U24&lt;=0,NOT(OR(AND(IFERROR(INDEX('Job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8"),FALSE))))),8,10),U25)*U24)),MAX(0,40*MAX(1,U24)-(0)))))</f>
        <v>2</v>
      </c>
      <c r="V27" s="61">
        <f>IF(AND(V24=1,V25=12,AND(IFERROR(INDEX('Job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setup'!I$7:I$11,0)),"")=0))),2,IF(OR(V24&lt;=0,NOT(OR(AND(IFERROR(INDEX('Job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setup'!I$7:I$11,0)),"")&gt;=V$6)))),0,IF(WEEKDAY(V$6,1)=1,0,MAX(0,V25-(IF(IF(AND(IFERROR(INDEX('Job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8"),FALSE))))),8,10)))*V24))+((IF(OR(V24&lt;=0,NOT(OR(AND(IFERROR(INDEX('Job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8"),FALSE))))),8,10),V25)*V24)))-MIN(IF(OR(V24&lt;=0,NOT(OR(AND(IFERROR(INDEX('Job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8"),FALSE))))),8,10),V25)*V24)),MAX(0,40*MAX(1,V24)-(U26)))))</f>
        <v>2</v>
      </c>
      <c r="W27" s="62">
        <f>IF(AND(W24=1,W25=12,AND(IFERROR(INDEX('Job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setup'!I$7:I$11,0)),"")=0))),2,IF(OR(W24&lt;=0,NOT(OR(AND(IFERROR(INDEX('Job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setup'!I$7:I$11,0)),"")&gt;=W$6)))),0,IF(WEEKDAY(W$6,1)=1,0,MAX(0,W25-(IF(IF(AND(IFERROR(INDEX('Job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8"),FALSE))))),8,10)))*W24))+((IF(OR(W24&lt;=0,NOT(OR(AND(IFERROR(INDEX('Job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8"),FALSE))))),8,10),W25)*W24)))-MIN(IF(OR(W24&lt;=0,NOT(OR(AND(IFERROR(INDEX('Job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8"),FALSE))))),8,10),W25)*W24)),MAX(0,40*MAX(1,W24)-(U26+V26)))))</f>
        <v>2</v>
      </c>
      <c r="X27" s="62">
        <f>IF(AND(X24=1,X25=12,AND(IFERROR(INDEX('Job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setup'!I$7:I$11,0)),"")=0))),0,IF(OR(X24&lt;=0,NOT(OR(AND(IFERROR(INDEX('Job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setup'!I$7:I$11,0)),"")&gt;=X$6)))),0,IF(WEEKDAY(X$6,1)=1,0,MAX(0,X25-(IF(IF(AND(IFERROR(INDEX('Job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8"),FALSE))))),8,10)))*X24))+((IF(OR(X24&lt;=0,NOT(OR(AND(IFERROR(INDEX('Job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8"),FALSE))))),8,10),X25)*X24)))-MIN(IF(OR(X24&lt;=0,NOT(OR(AND(IFERROR(INDEX('Job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8"),FALSE))))),8,10),X25)*X24)),MAX(0,40*MAX(1,X24)-(U26+V26+W26)))))</f>
        <v>0</v>
      </c>
      <c r="Y27" s="61">
        <f>IF(AND(Y24=1,Y25=12,AND(IFERROR(INDEX('Job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setup'!I$7:I$11,0)),"")=0))),2,IF(OR(Y24&lt;=0,NOT(OR(AND(IFERROR(INDEX('Job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setup'!I$7:I$11,0)),"")&gt;=Y$6)))),0,IF(WEEKDAY(Y$6,1)=1,0,MAX(0,Y25-(IF(IF(AND(IFERROR(INDEX('Job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8"),FALSE))))),8,10)))*Y24))+((IF(OR(Y24&lt;=0,NOT(OR(AND(IFERROR(INDEX('Job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8"),FALSE))))),8,10),Y25)*Y24)))-MIN(IF(OR(Y24&lt;=0,NOT(OR(AND(IFERROR(INDEX('Job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8"),FALSE))))),8,10),Y25)*Y24)),MAX(0,40*MAX(1,Y24)-(0)))))</f>
        <v>2</v>
      </c>
      <c r="Z27" s="61">
        <f>IF(AND(Z24=1,Z25=12,AND(IFERROR(INDEX('Job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setup'!I$7:I$11,0)),"")=0))),2,IF(OR(Z24&lt;=0,NOT(OR(AND(IFERROR(INDEX('Job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setup'!I$7:I$11,0)),"")&gt;=Z$6)))),0,IF(WEEKDAY(Z$6,1)=1,0,MAX(0,Z25-(IF(IF(AND(IFERROR(INDEX('Job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8"),FALSE))))),8,10)))*Z24))+((IF(OR(Z24&lt;=0,NOT(OR(AND(IFERROR(INDEX('Job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8"),FALSE))))),8,10),Z25)*Z24)))-MIN(IF(OR(Z24&lt;=0,NOT(OR(AND(IFERROR(INDEX('Job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8"),FALSE))))),8,10),Z25)*Z24)),MAX(0,40*MAX(1,Z24)-(Y26)))))</f>
        <v>2</v>
      </c>
      <c r="AA27" s="61">
        <f>IF(AND(AA24=1,AA25=12,AND(IFERROR(INDEX('Job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setup'!I$7:I$11,0)),"")=0))),2,IF(OR(AA24&lt;=0,NOT(OR(AND(IFERROR(INDEX('Job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setup'!I$7:I$11,0)),"")&gt;=AA$6)))),0,IF(WEEKDAY(AA$6,1)=1,0,MAX(0,AA25-(IF(IF(AND(IFERROR(INDEX('Job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8"),FALSE))))),8,10)))*AA24))+((IF(OR(AA24&lt;=0,NOT(OR(AND(IFERROR(INDEX('Job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8"),FALSE))))),8,10),AA25)*AA24)))-MIN(IF(OR(AA24&lt;=0,NOT(OR(AND(IFERROR(INDEX('Job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8"),FALSE))))),8,10),AA25)*AA24)),MAX(0,40*MAX(1,AA24)-(Y26+Z26)))))</f>
        <v>2</v>
      </c>
      <c r="AB27" s="61">
        <f>IF(AND(AB24=1,AB25=12,AND(IFERROR(INDEX('Job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setup'!I$7:I$11,0)),"")=0))),2,IF(OR(AB24&lt;=0,NOT(OR(AND(IFERROR(INDEX('Job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setup'!I$7:I$11,0)),"")&gt;=AB$6)))),0,IF(WEEKDAY(AB$6,1)=1,0,MAX(0,AB25-(IF(IF(AND(IFERROR(INDEX('Job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8"),FALSE))))),8,10)))*AB24))+((IF(OR(AB24&lt;=0,NOT(OR(AND(IFERROR(INDEX('Job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8"),FALSE))))),8,10),AB25)*AB24)))-MIN(IF(OR(AB24&lt;=0,NOT(OR(AND(IFERROR(INDEX('Job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8"),FALSE))))),8,10),AB25)*AB24)),MAX(0,40*MAX(1,AB24)-(Y26+Z26+AA26)))))</f>
        <v>2</v>
      </c>
      <c r="AC27" s="61">
        <f>IF(AND(AC24=1,AC25=12,AND(IFERROR(INDEX('Job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setup'!I$7:I$11,0)),"")=0))),12,IF(OR(AC24&lt;=0,NOT(OR(AND(IFERROR(INDEX('Job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setup'!I$7:I$11,0)),"")&gt;=AC$6)))),0,IF(WEEKDAY(AC$6,1)=1,0,MAX(0,AC25-(IF(IF(AND(IFERROR(INDEX('Job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8"),FALSE))))),8,10)))*AC24))+((IF(OR(AC24&lt;=0,NOT(OR(AND(IFERROR(INDEX('Job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8"),FALSE))))),8,10),AC25)*AC24)))-MIN(IF(OR(AC24&lt;=0,NOT(OR(AND(IFERROR(INDEX('Job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8"),FALSE))))),8,10),AC25)*AC24)),MAX(0,40*MAX(1,AC24)-(Y26+Z26+AA26+AB26)))))</f>
        <v>12</v>
      </c>
      <c r="AD27" s="62">
        <f>IF(AND(AD24=1,AD25=12,AND(IFERROR(INDEX('Job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setup'!I$7:I$11,0)),"")=0))),12,IF(OR(AD24&lt;=0,NOT(OR(AND(IFERROR(INDEX('Job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setup'!I$7:I$11,0)),"")&gt;=AD$6)))),0,IF(WEEKDAY(AD$6,1)=1,0,MAX(0,AD25-(IF(IF(AND(IFERROR(INDEX('Job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8"),FALSE))))),8,10)))*AD24))+((IF(OR(AD24&lt;=0,NOT(OR(AND(IFERROR(INDEX('Job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8"),FALSE))))),8,10),AD25)*AD24)))-MIN(IF(OR(AD24&lt;=0,NOT(OR(AND(IFERROR(INDEX('Job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8"),FALSE))))),8,10),AD25)*AD24)),MAX(0,40*MAX(1,AD24)-(Y26+Z26+AA26+AB26+AC26)))))</f>
        <v>12</v>
      </c>
      <c r="AE27" s="62">
        <f>IF(AND(AE24=1,AE25=12,AND(IFERROR(INDEX('Job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setup'!I$7:I$11,0)),"")=0))),0,IF(OR(AE24&lt;=0,NOT(OR(AND(IFERROR(INDEX('Job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setup'!I$7:I$11,0)),"")&gt;=AE$6)))),0,IF(WEEKDAY(AE$6,1)=1,0,MAX(0,AE25-(IF(IF(AND(IFERROR(INDEX('Job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8"),FALSE))))),8,10)))*AE24))+((IF(OR(AE24&lt;=0,NOT(OR(AND(IFERROR(INDEX('Job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8"),FALSE))))),8,10),AE25)*AE24)))-MIN(IF(OR(AE24&lt;=0,NOT(OR(AND(IFERROR(INDEX('Job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8"),FALSE))))),8,10),AE25)*AE24)),MAX(0,40*MAX(1,AE24)-(Y26+Z26+AA26+AB26+AC26+AD26)))))</f>
        <v>0</v>
      </c>
      <c r="AF27" s="61">
        <f>IF(AND(AF24=1,AF25=12,AND(IFERROR(INDEX('Job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setup'!I$7:I$11,0)),"")=0))),2,IF(OR(AF24&lt;=0,NOT(OR(AND(IFERROR(INDEX('Job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setup'!I$7:I$11,0)),"")&gt;=AF$6)))),0,IF(WEEKDAY(AF$6,1)=1,0,MAX(0,AF25-(IF(IF(AND(IFERROR(INDEX('Job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8"),FALSE))))),8,10)))*AF24))+((IF(OR(AF24&lt;=0,NOT(OR(AND(IFERROR(INDEX('Job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8"),FALSE))))),8,10),AF25)*AF24)))-MIN(IF(OR(AF24&lt;=0,NOT(OR(AND(IFERROR(INDEX('Job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8"),FALSE))))),8,10),AF25)*AF24)),MAX(0,40*MAX(1,AF24)-(0)))))</f>
        <v>2</v>
      </c>
      <c r="AG27" s="61">
        <f>IF(AND(AG24=1,AG25=12,AND(IFERROR(INDEX('Job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setup'!I$7:I$11,0)),"")=0))),2,IF(OR(AG24&lt;=0,NOT(OR(AND(IFERROR(INDEX('Job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setup'!I$7:I$11,0)),"")&gt;=AG$6)))),0,IF(WEEKDAY(AG$6,1)=1,0,MAX(0,AG25-(IF(IF(AND(IFERROR(INDEX('Job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8"),FALSE))))),8,10)))*AG24))+((IF(OR(AG24&lt;=0,NOT(OR(AND(IFERROR(INDEX('Job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8"),FALSE))))),8,10),AG25)*AG24)))-MIN(IF(OR(AG24&lt;=0,NOT(OR(AND(IFERROR(INDEX('Job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8"),FALSE))))),8,10),AG25)*AG24)),MAX(0,40*MAX(1,AG24)-(AF26)))))</f>
        <v>2</v>
      </c>
      <c r="AH27" s="61">
        <f>IF(AND(AH24=1,AH25=12,AND(IFERROR(INDEX('Job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setup'!I$7:I$11,0)),"")=0))),2,IF(OR(AH24&lt;=0,NOT(OR(AND(IFERROR(INDEX('Job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setup'!I$7:I$11,0)),"")&gt;=AH$6)))),0,IF(WEEKDAY(AH$6,1)=1,0,MAX(0,AH25-(IF(IF(AND(IFERROR(INDEX('Job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8"),FALSE))))),8,10)))*AH24))+((IF(OR(AH24&lt;=0,NOT(OR(AND(IFERROR(INDEX('Job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8"),FALSE))))),8,10),AH25)*AH24)))-MIN(IF(OR(AH24&lt;=0,NOT(OR(AND(IFERROR(INDEX('Job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8"),FALSE))))),8,10),AH25)*AH24)),MAX(0,40*MAX(1,AH24)-(AF26+AG26)))))</f>
        <v>2</v>
      </c>
      <c r="AI27" s="61">
        <f>IF(AND(AI24=1,AI25=8,AND(IFERROR(INDEX('Job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hours")),0,IF(OR(AI24&lt;=0,NOT(OR(AND(IFERROR(INDEX('Job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setup'!I$7:I$11,0)),"")&gt;=AI$6)))),0,IF(WEEKDAY(AI$6,1)=1,0,MAX(0,AI25-(IF(IF(AND(IFERROR(INDEX('Job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8"),FALSE))))),8,10)))*AI24))+((IF(OR(AI24&lt;=0,NOT(OR(AND(IFERROR(INDEX('Job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8"),FALSE))))),8,10),AI25)*AI24)))-MIN(IF(OR(AI24&lt;=0,NOT(OR(AND(IFERROR(INDEX('Job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8"),FALSE))))),8,10),AI25)*AI24)),MAX(0,40*MAX(1,AI24)-(0)))))</f>
        <v>0</v>
      </c>
      <c r="AJ27" s="61">
        <f>IF(AND(AJ24=1,AJ25=8,AND(IFERROR(INDEX('Job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hours")),0,IF(OR(AJ24&lt;=0,NOT(OR(AND(IFERROR(INDEX('Job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setup'!I$7:I$11,0)),"")&gt;=AJ$6)))),0,IF(WEEKDAY(AJ$6,1)=1,0,MAX(0,AJ25-(IF(IF(AND(IFERROR(INDEX('Job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8"),FALSE))))),8,10)))*AJ24))+((IF(OR(AJ24&lt;=0,NOT(OR(AND(IFERROR(INDEX('Job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8"),FALSE))))),8,10),AJ25)*AJ24)))-MIN(IF(OR(AJ24&lt;=0,NOT(OR(AND(IFERROR(INDEX('Job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8"),FALSE))))),8,10),AJ25)*AJ24)),MAX(0,40*MAX(1,AJ24)-(AI26)))))</f>
        <v>0</v>
      </c>
      <c r="AK27" s="62">
        <f>IF(AND(AK24=0,AK25=0,AND(IFERROR(INDEX('Job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hours")),0,IF(OR(AK24&lt;=0,NOT(OR(AND(IFERROR(INDEX('Job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setup'!I$7:I$11,0)),"")&gt;=AK$6)))),0,IF(WEEKDAY(AK$6,1)=1,0,MAX(0,AK25-(IF(IF(AND(IFERROR(INDEX('Job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8"),FALSE))))),8,10)))*AK24))+((IF(OR(AK24&lt;=0,NOT(OR(AND(IFERROR(INDEX('Job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8"),FALSE))))),8,10),AK25)*AK24)))-MIN(IF(OR(AK24&lt;=0,NOT(OR(AND(IFERROR(INDEX('Job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8"),FALSE))))),8,10),AK25)*AK24)),MAX(0,40*MAX(1,AK24)-(0)))))</f>
        <v>0</v>
      </c>
      <c r="AL27" s="62">
        <f>IF(AND(AL24=0,AL25=0,AND(IFERROR(INDEX('Job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hours")),0,IF(OR(AL24&lt;=0,NOT(OR(AND(IFERROR(INDEX('Job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setup'!I$7:I$11,0)),"")&gt;=AL$6)))),0,IF(WEEKDAY(AL$6,1)=1,0,MAX(0,AL25-(IF(IF(AND(IFERROR(INDEX('Job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8"),FALSE))))),8,10)))*AL24))+((IF(OR(AL24&lt;=0,NOT(OR(AND(IFERROR(INDEX('Job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8"),FALSE))))),8,10),AL25)*AL24)))-MIN(IF(OR(AL24&lt;=0,NOT(OR(AND(IFERROR(INDEX('Job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8"),FALSE))))),8,10),AL25)*AL24)),MAX(0,40*MAX(1,AL24)-(AK26)))))</f>
        <v>0</v>
      </c>
      <c r="AM27" s="61">
        <f>IF(AND(AM24=1,AM25=8,AND(IFERROR(INDEX('Job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hours")),0,IF(OR(AM24&lt;=0,NOT(OR(AND(IFERROR(INDEX('Job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setup'!I$7:I$11,0)),"")&gt;=AM$6)))),0,IF(WEEKDAY(AM$6,1)=1,0,MAX(0,AM25-(IF(IF(AND(IFERROR(INDEX('Job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8"),FALSE))))),8,10)))*AM24))+((IF(OR(AM24&lt;=0,NOT(OR(AND(IFERROR(INDEX('Job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8"),FALSE))))),8,10),AM25)*AM24)))-MIN(IF(OR(AM24&lt;=0,NOT(OR(AND(IFERROR(INDEX('Job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8"),FALSE))))),8,10),AM25)*AM24)),MAX(0,40*MAX(1,AM24)-(0)))))</f>
        <v>0</v>
      </c>
      <c r="AN27" s="61">
        <f>IF(AND(AN24=1,AN25=8,AND(IFERROR(INDEX('Job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hours")),0,IF(OR(AN24&lt;=0,NOT(OR(AND(IFERROR(INDEX('Job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setup'!I$7:I$11,0)),"")&gt;=AN$6)))),0,IF(WEEKDAY(AN$6,1)=1,0,MAX(0,AN25-(IF(IF(AND(IFERROR(INDEX('Job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8"),FALSE))))),8,10)))*AN24))+((IF(OR(AN24&lt;=0,NOT(OR(AND(IFERROR(INDEX('Job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8"),FALSE))))),8,10),AN25)*AN24)))-MIN(IF(OR(AN24&lt;=0,NOT(OR(AND(IFERROR(INDEX('Job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8"),FALSE))))),8,10),AN25)*AN24)),MAX(0,40*MAX(1,AN24)-(AM26)))))</f>
        <v>0</v>
      </c>
      <c r="AO27" s="61">
        <f>IF(AND(AO24=1,AO25=8,AND(IFERROR(INDEX('Job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hours")),0,IF(OR(AO24&lt;=0,NOT(OR(AND(IFERROR(INDEX('Job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setup'!I$7:I$11,0)),"")&gt;=AO$6)))),0,IF(WEEKDAY(AO$6,1)=1,0,MAX(0,AO25-(IF(IF(AND(IFERROR(INDEX('Job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8"),FALSE))))),8,10)))*AO24))+((IF(OR(AO24&lt;=0,NOT(OR(AND(IFERROR(INDEX('Job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8"),FALSE))))),8,10),AO25)*AO24)))-MIN(IF(OR(AO24&lt;=0,NOT(OR(AND(IFERROR(INDEX('Job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8"),FALSE))))),8,10),AO25)*AO24)),MAX(0,40*MAX(1,AO24)-(AM26+AN26)))))</f>
        <v>0</v>
      </c>
      <c r="AP27" s="63">
        <f>IF(AND(AP24=1,AP25=8,AND(IFERROR(INDEX('Job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hours")),0,IF(OR(AP24&lt;=0,NOT(OR(AND(IFERROR(INDEX('Job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setup'!I$7:I$11,0)),"")&gt;=AP$6)))),0,IF(WEEKDAY(AP$6,1)=1,0,MAX(0,AP25-(IF(IF(AND(IFERROR(INDEX('Job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8"),FALSE))))),8,10)))*AP24))+((IF(OR(AP24&lt;=0,NOT(OR(AND(IFERROR(INDEX('Job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8"),FALSE))))),8,10),AP25)*AP24)))-MIN(IF(OR(AP24&lt;=0,NOT(OR(AND(IFERROR(INDEX('Job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8"),FALSE))))),8,10),AP25)*AP24)),MAX(0,40*MAX(1,AP24)-(AM26+AN26+AO26)))))</f>
        <v>0</v>
      </c>
      <c r="OU27" s="28" t="s">
        <v>69</v>
      </c>
    </row>
    <row r="28" ht="16" customHeight="1" spans="1:411" x14ac:dyDescent="0.25">
      <c r="A28" s="43"/>
      <c r="B28" s="44"/>
      <c r="C28" s="59">
        <f>H23*N(D28)</f>
        <v>4362.96</v>
      </c>
      <c r="D28" s="59">
        <f>IF(TRIM(B23)="","No rate",IFERROR(INDEX('Rate Tables'!E$7:E$161,MATCH(B23,'Rate Tables'!A$7:A$161,0)),"No rate"))</f>
        <v>181.79</v>
      </c>
      <c r="E28" s="53" t="s">
        <v>64</v>
      </c>
      <c r="F28" s="47"/>
      <c r="G28" s="47"/>
      <c r="H28" s="47"/>
      <c r="I28" s="47"/>
      <c r="J28" s="48"/>
      <c r="K28" s="60">
        <f>IF(AND(K24=1,K25=8,AND(IFERROR(INDEX('Job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hours")),0,IF(OR(K24&lt;=0,NOT(OR(AND(IFERROR(INDEX('Job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setup'!I$7:I$11,0)),"")&gt;=K$6)))),0,IF(WEEKDAY(K$6,1)=1,K24*K25,0)))</f>
        <v>0</v>
      </c>
      <c r="L28" s="61">
        <f>IF(AND(L24=1,L25=8,AND(IFERROR(INDEX('Job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hours")),0,IF(OR(L24&lt;=0,NOT(OR(AND(IFERROR(INDEX('Job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setup'!I$7:I$11,0)),"")&gt;=L$6)))),0,IF(WEEKDAY(L$6,1)=1,L24*L25,0)))</f>
        <v>0</v>
      </c>
      <c r="M28" s="61">
        <f>IF(AND(M24=1,M25=8,AND(IFERROR(INDEX('Job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hours")),0,IF(OR(M24&lt;=0,NOT(OR(AND(IFERROR(INDEX('Job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setup'!I$7:I$11,0)),"")&gt;=M$6)))),0,IF(WEEKDAY(M$6,1)=1,M24*M25,0)))</f>
        <v>0</v>
      </c>
      <c r="N28" s="61">
        <f>IF(AND(N24=1,N25=8,AND(IFERROR(INDEX('Job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hours")),0,IF(OR(N24&lt;=0,NOT(OR(AND(IFERROR(INDEX('Job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setup'!I$7:I$11,0)),"")&gt;=N$6)))),0,IF(WEEKDAY(N$6,1)=1,N24*N25,0)))</f>
        <v>0</v>
      </c>
      <c r="O28" s="61">
        <f>IF(AND(O24=1,O25=8,AND(IFERROR(INDEX('Job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hours")),0,IF(OR(O24&lt;=0,NOT(OR(AND(IFERROR(INDEX('Job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setup'!I$7:I$11,0)),"")&gt;=O$6)))),0,IF(WEEKDAY(O$6,1)=1,O24*O25,0)))</f>
        <v>0</v>
      </c>
      <c r="P28" s="62">
        <f>IF(AND(P24=0,P25=0,AND(IFERROR(INDEX('Job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hours")),0,IF(OR(P24&lt;=0,NOT(OR(AND(IFERROR(INDEX('Job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setup'!I$7:I$11,0)),"")&gt;=P$6)))),0,IF(WEEKDAY(P$6,1)=1,P24*P25,0)))</f>
        <v>0</v>
      </c>
      <c r="Q28" s="62">
        <f>IF(AND(Q24=0,Q25=0,AND(IFERROR(INDEX('Job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hours")),0,IF(OR(Q24&lt;=0,NOT(OR(AND(IFERROR(INDEX('Job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setup'!I$7:I$11,0)),"")&gt;=Q$6)))),0,IF(WEEKDAY(Q$6,1)=1,Q24*Q25,0)))</f>
        <v>0</v>
      </c>
      <c r="R28" s="61">
        <f>IF(AND(R24=1,R25=8,AND(IFERROR(INDEX('Job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hours")),0,IF(OR(R24&lt;=0,NOT(OR(AND(IFERROR(INDEX('Job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setup'!I$7:I$11,0)),"")&gt;=R$6)))),0,IF(WEEKDAY(R$6,1)=1,R24*R25,0)))</f>
        <v>0</v>
      </c>
      <c r="S28" s="61">
        <f>IF(AND(S24=1,S25=8,AND(IFERROR(INDEX('Job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hours")),0,IF(OR(S24&lt;=0,NOT(OR(AND(IFERROR(INDEX('Job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setup'!I$7:I$11,0)),"")&gt;=S$6)))),0,IF(WEEKDAY(S$6,1)=1,S24*S25,0)))</f>
        <v>0</v>
      </c>
      <c r="T28" s="61">
        <f>IF(AND(T24=1,T25=8,AND(IFERROR(INDEX('Job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hours")),0,IF(OR(T24&lt;=0,NOT(OR(AND(IFERROR(INDEX('Job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setup'!I$7:I$11,0)),"")&gt;=T$6)))),0,IF(WEEKDAY(T$6,1)=1,T24*T25,0)))</f>
        <v>0</v>
      </c>
      <c r="U28" s="61">
        <f>IF(AND(U24=1,U25=12,AND(IFERROR(INDEX('Job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setup'!I$7:I$11,0)),"")=0))),0,IF(OR(U24&lt;=0,NOT(OR(AND(IFERROR(INDEX('Job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setup'!I$7:I$11,0)),"")&gt;=U$6)))),0,IF(WEEKDAY(U$6,1)=1,U24*U25,0)))</f>
        <v>0</v>
      </c>
      <c r="V28" s="61">
        <f>IF(AND(V24=1,V25=12,AND(IFERROR(INDEX('Job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setup'!I$7:I$11,0)),"")=0))),0,IF(OR(V24&lt;=0,NOT(OR(AND(IFERROR(INDEX('Job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setup'!I$7:I$11,0)),"")&gt;=V$6)))),0,IF(WEEKDAY(V$6,1)=1,V24*V25,0)))</f>
        <v>0</v>
      </c>
      <c r="W28" s="62">
        <f>IF(AND(W24=1,W25=12,AND(IFERROR(INDEX('Job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setup'!I$7:I$11,0)),"")=0))),0,IF(OR(W24&lt;=0,NOT(OR(AND(IFERROR(INDEX('Job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setup'!I$7:I$11,0)),"")&gt;=W$6)))),0,IF(WEEKDAY(W$6,1)=1,W24*W25,0)))</f>
        <v>0</v>
      </c>
      <c r="X28" s="62">
        <f>IF(AND(X24=1,X25=12,AND(IFERROR(INDEX('Job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setup'!I$7:I$11,0)),"")=0))),12,IF(OR(X24&lt;=0,NOT(OR(AND(IFERROR(INDEX('Job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setup'!I$7:I$11,0)),"")&gt;=X$6)))),0,IF(WEEKDAY(X$6,1)=1,X24*X25,0)))</f>
        <v>12</v>
      </c>
      <c r="Y28" s="61">
        <f>IF(AND(Y24=1,Y25=12,AND(IFERROR(INDEX('Job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setup'!I$7:I$11,0)),"")=0))),0,IF(OR(Y24&lt;=0,NOT(OR(AND(IFERROR(INDEX('Job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setup'!I$7:I$11,0)),"")&gt;=Y$6)))),0,IF(WEEKDAY(Y$6,1)=1,Y24*Y25,0)))</f>
        <v>0</v>
      </c>
      <c r="Z28" s="61">
        <f>IF(AND(Z24=1,Z25=12,AND(IFERROR(INDEX('Job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setup'!I$7:I$11,0)),"")=0))),0,IF(OR(Z24&lt;=0,NOT(OR(AND(IFERROR(INDEX('Job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setup'!I$7:I$11,0)),"")&gt;=Z$6)))),0,IF(WEEKDAY(Z$6,1)=1,Z24*Z25,0)))</f>
        <v>0</v>
      </c>
      <c r="AA28" s="61">
        <f>IF(AND(AA24=1,AA25=12,AND(IFERROR(INDEX('Job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setup'!I$7:I$11,0)),"")=0))),0,IF(OR(AA24&lt;=0,NOT(OR(AND(IFERROR(INDEX('Job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setup'!I$7:I$11,0)),"")&gt;=AA$6)))),0,IF(WEEKDAY(AA$6,1)=1,AA24*AA25,0)))</f>
        <v>0</v>
      </c>
      <c r="AB28" s="61">
        <f>IF(AND(AB24=1,AB25=12,AND(IFERROR(INDEX('Job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setup'!I$7:I$11,0)),"")=0))),0,IF(OR(AB24&lt;=0,NOT(OR(AND(IFERROR(INDEX('Job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setup'!I$7:I$11,0)),"")&gt;=AB$6)))),0,IF(WEEKDAY(AB$6,1)=1,AB24*AB25,0)))</f>
        <v>0</v>
      </c>
      <c r="AC28" s="61">
        <f>IF(AND(AC24=1,AC25=12,AND(IFERROR(INDEX('Job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setup'!I$7:I$11,0)),"")=0))),0,IF(OR(AC24&lt;=0,NOT(OR(AND(IFERROR(INDEX('Job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setup'!I$7:I$11,0)),"")&gt;=AC$6)))),0,IF(WEEKDAY(AC$6,1)=1,AC24*AC25,0)))</f>
        <v>0</v>
      </c>
      <c r="AD28" s="62">
        <f>IF(AND(AD24=1,AD25=12,AND(IFERROR(INDEX('Job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setup'!I$7:I$11,0)),"")=0))),0,IF(OR(AD24&lt;=0,NOT(OR(AND(IFERROR(INDEX('Job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setup'!I$7:I$11,0)),"")&gt;=AD$6)))),0,IF(WEEKDAY(AD$6,1)=1,AD24*AD25,0)))</f>
        <v>0</v>
      </c>
      <c r="AE28" s="62">
        <f>IF(AND(AE24=1,AE25=12,AND(IFERROR(INDEX('Job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setup'!I$7:I$11,0)),"")=0))),12,IF(OR(AE24&lt;=0,NOT(OR(AND(IFERROR(INDEX('Job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setup'!I$7:I$11,0)),"")&gt;=AE$6)))),0,IF(WEEKDAY(AE$6,1)=1,AE24*AE25,0)))</f>
        <v>12</v>
      </c>
      <c r="AF28" s="61">
        <f>IF(AND(AF24=1,AF25=12,AND(IFERROR(INDEX('Job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setup'!I$7:I$11,0)),"")=0))),0,IF(OR(AF24&lt;=0,NOT(OR(AND(IFERROR(INDEX('Job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setup'!I$7:I$11,0)),"")&gt;=AF$6)))),0,IF(WEEKDAY(AF$6,1)=1,AF24*AF25,0)))</f>
        <v>0</v>
      </c>
      <c r="AG28" s="61">
        <f>IF(AND(AG24=1,AG25=12,AND(IFERROR(INDEX('Job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setup'!I$7:I$11,0)),"")=0))),0,IF(OR(AG24&lt;=0,NOT(OR(AND(IFERROR(INDEX('Job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setup'!I$7:I$11,0)),"")&gt;=AG$6)))),0,IF(WEEKDAY(AG$6,1)=1,AG24*AG25,0)))</f>
        <v>0</v>
      </c>
      <c r="AH28" s="61">
        <f>IF(AND(AH24=1,AH25=12,AND(IFERROR(INDEX('Job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setup'!I$7:I$11,0)),"")=0))),0,IF(OR(AH24&lt;=0,NOT(OR(AND(IFERROR(INDEX('Job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setup'!I$7:I$11,0)),"")&gt;=AH$6)))),0,IF(WEEKDAY(AH$6,1)=1,AH24*AH25,0)))</f>
        <v>0</v>
      </c>
      <c r="AI28" s="61">
        <f>IF(AND(AI24=1,AI25=8,AND(IFERROR(INDEX('Job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hours")),0,IF(OR(AI24&lt;=0,NOT(OR(AND(IFERROR(INDEX('Job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setup'!I$7:I$11,0)),"")&gt;=AI$6)))),0,IF(WEEKDAY(AI$6,1)=1,AI24*AI25,0)))</f>
        <v>0</v>
      </c>
      <c r="AJ28" s="61">
        <f>IF(AND(AJ24=1,AJ25=8,AND(IFERROR(INDEX('Job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hours")),0,IF(OR(AJ24&lt;=0,NOT(OR(AND(IFERROR(INDEX('Job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setup'!I$7:I$11,0)),"")&gt;=AJ$6)))),0,IF(WEEKDAY(AJ$6,1)=1,AJ24*AJ25,0)))</f>
        <v>0</v>
      </c>
      <c r="AK28" s="62">
        <f>IF(AND(AK24=0,AK25=0,AND(IFERROR(INDEX('Job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hours")),0,IF(OR(AK24&lt;=0,NOT(OR(AND(IFERROR(INDEX('Job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setup'!I$7:I$11,0)),"")&gt;=AK$6)))),0,IF(WEEKDAY(AK$6,1)=1,AK24*AK25,0)))</f>
        <v>0</v>
      </c>
      <c r="AL28" s="62">
        <f>IF(AND(AL24=0,AL25=0,AND(IFERROR(INDEX('Job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hours")),0,IF(OR(AL24&lt;=0,NOT(OR(AND(IFERROR(INDEX('Job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setup'!I$7:I$11,0)),"")&gt;=AL$6)))),0,IF(WEEKDAY(AL$6,1)=1,AL24*AL25,0)))</f>
        <v>0</v>
      </c>
      <c r="AM28" s="61">
        <f>IF(AND(AM24=1,AM25=8,AND(IFERROR(INDEX('Job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hours")),0,IF(OR(AM24&lt;=0,NOT(OR(AND(IFERROR(INDEX('Job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setup'!I$7:I$11,0)),"")&gt;=AM$6)))),0,IF(WEEKDAY(AM$6,1)=1,AM24*AM25,0)))</f>
        <v>0</v>
      </c>
      <c r="AN28" s="61">
        <f>IF(AND(AN24=1,AN25=8,AND(IFERROR(INDEX('Job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hours")),0,IF(OR(AN24&lt;=0,NOT(OR(AND(IFERROR(INDEX('Job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setup'!I$7:I$11,0)),"")&gt;=AN$6)))),0,IF(WEEKDAY(AN$6,1)=1,AN24*AN25,0)))</f>
        <v>0</v>
      </c>
      <c r="AO28" s="61">
        <f>IF(AND(AO24=1,AO25=8,AND(IFERROR(INDEX('Job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hours")),0,IF(OR(AO24&lt;=0,NOT(OR(AND(IFERROR(INDEX('Job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setup'!I$7:I$11,0)),"")&gt;=AO$6)))),0,IF(WEEKDAY(AO$6,1)=1,AO24*AO25,0)))</f>
        <v>0</v>
      </c>
      <c r="AP28" s="63">
        <f>IF(AND(AP24=1,AP25=8,AND(IFERROR(INDEX('Job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hours")),0,IF(OR(AP24&lt;=0,NOT(OR(AND(IFERROR(INDEX('Job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setup'!I$7:I$11,0)),"")&gt;=AP$6)))),0,IF(WEEKDAY(AP$6,1)=1,AP24*AP25,0)))</f>
        <v>0</v>
      </c>
      <c r="OU28" s="28" t="s">
        <v>69</v>
      </c>
    </row>
    <row r="29" ht="16" customHeight="1" spans="1:411" x14ac:dyDescent="0.25">
      <c r="A29" s="43"/>
      <c r="B29" s="44"/>
      <c r="C29" s="65">
        <f>I23*D29</f>
        <v>3080</v>
      </c>
      <c r="D29" s="65">
        <v>140</v>
      </c>
      <c r="E29" s="66" t="s">
        <v>65</v>
      </c>
      <c r="F29" s="47"/>
      <c r="G29" s="47"/>
      <c r="H29" s="47"/>
      <c r="I29" s="47"/>
      <c r="J29" s="48"/>
      <c r="K29" s="67">
        <v>1</v>
      </c>
      <c r="L29" s="68">
        <v>1</v>
      </c>
      <c r="M29" s="68">
        <v>1</v>
      </c>
      <c r="N29" s="68">
        <v>1</v>
      </c>
      <c r="O29" s="68">
        <v>1</v>
      </c>
      <c r="P29" s="69">
        <v>0</v>
      </c>
      <c r="Q29" s="69">
        <v>0</v>
      </c>
      <c r="R29" s="68">
        <v>1</v>
      </c>
      <c r="S29" s="68">
        <v>1</v>
      </c>
      <c r="T29" s="68">
        <v>1</v>
      </c>
      <c r="U29" s="68">
        <v>1</v>
      </c>
      <c r="V29" s="68">
        <v>1</v>
      </c>
      <c r="W29" s="69">
        <v>1</v>
      </c>
      <c r="X29" s="69">
        <v>1</v>
      </c>
      <c r="Y29" s="68">
        <v>1</v>
      </c>
      <c r="Z29" s="68">
        <v>1</v>
      </c>
      <c r="AA29" s="68">
        <v>1</v>
      </c>
      <c r="AB29" s="68">
        <v>1</v>
      </c>
      <c r="AC29" s="68">
        <v>1</v>
      </c>
      <c r="AD29" s="69">
        <v>1</v>
      </c>
      <c r="AE29" s="69">
        <v>1</v>
      </c>
      <c r="AF29" s="68">
        <v>1</v>
      </c>
      <c r="AG29" s="68">
        <v>1</v>
      </c>
      <c r="AH29" s="68">
        <v>1</v>
      </c>
      <c r="AI29" s="68">
        <v>0</v>
      </c>
      <c r="AJ29" s="68">
        <v>0</v>
      </c>
      <c r="AK29" s="69">
        <v>0</v>
      </c>
      <c r="AL29" s="69">
        <v>0</v>
      </c>
      <c r="AM29" s="68">
        <v>0</v>
      </c>
      <c r="AN29" s="68">
        <v>0</v>
      </c>
      <c r="AO29" s="68">
        <v>0</v>
      </c>
      <c r="AP29" s="70">
        <v>0</v>
      </c>
      <c r="OU29" s="58" t="s">
        <v>69</v>
      </c>
    </row>
    <row r="30" ht="8" customHeight="1" spans="1:42" x14ac:dyDescent="0.25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</row>
    <row r="31" ht="16" customHeight="1" spans="1:411" x14ac:dyDescent="0.25">
      <c r="A31" s="72" t="s">
        <v>66</v>
      </c>
      <c r="B31" s="44" t="s">
        <v>68</v>
      </c>
      <c r="C31" s="45">
        <f>J31</f>
        <v>28033.48</v>
      </c>
      <c r="D31" s="46"/>
      <c r="E31" s="46"/>
      <c r="F31" s="47">
        <f>SUM(K34:AP34)</f>
        <v>164</v>
      </c>
      <c r="G31" s="47">
        <f>SUM(K35:AP35)</f>
        <v>44</v>
      </c>
      <c r="H31" s="47">
        <f>SUM(K36:AP36)</f>
        <v>24</v>
      </c>
      <c r="I31" s="47">
        <f>SUM(K37:AP37)</f>
        <v>22</v>
      </c>
      <c r="J31" s="48">
        <f>C34+C35+C36</f>
        <v>28033.48</v>
      </c>
      <c r="K31" s="49"/>
      <c r="L31" s="50"/>
      <c r="M31" s="50"/>
      <c r="N31" s="50"/>
      <c r="O31" s="50"/>
      <c r="P31" s="51"/>
      <c r="Q31" s="51"/>
      <c r="R31" s="50"/>
      <c r="S31" s="50"/>
      <c r="T31" s="50"/>
      <c r="U31" s="50"/>
      <c r="V31" s="50"/>
      <c r="W31" s="51"/>
      <c r="X31" s="51"/>
      <c r="Y31" s="50"/>
      <c r="Z31" s="50"/>
      <c r="AA31" s="50"/>
      <c r="AB31" s="50"/>
      <c r="AC31" s="50"/>
      <c r="AD31" s="51"/>
      <c r="AE31" s="51"/>
      <c r="AF31" s="50"/>
      <c r="AG31" s="50"/>
      <c r="AH31" s="50"/>
      <c r="AI31" s="50"/>
      <c r="AJ31" s="50"/>
      <c r="AK31" s="51"/>
      <c r="AL31" s="51"/>
      <c r="AM31" s="50"/>
      <c r="AN31" s="50"/>
      <c r="AO31" s="50"/>
      <c r="AP31" s="52"/>
      <c r="OU31" s="28" t="s">
        <v>70</v>
      </c>
    </row>
    <row r="32" ht="16" customHeight="1" spans="1:411" x14ac:dyDescent="0.25">
      <c r="A32" s="72"/>
      <c r="B32" s="44"/>
      <c r="C32" s="45"/>
      <c r="D32" s="46"/>
      <c r="E32" s="53" t="s">
        <v>60</v>
      </c>
      <c r="F32" s="47"/>
      <c r="G32" s="47"/>
      <c r="H32" s="47"/>
      <c r="I32" s="47"/>
      <c r="J32" s="48"/>
      <c r="K32" s="54">
        <v>1</v>
      </c>
      <c r="L32" s="55">
        <v>1</v>
      </c>
      <c r="M32" s="55">
        <v>1</v>
      </c>
      <c r="N32" s="55">
        <v>1</v>
      </c>
      <c r="O32" s="55">
        <v>1</v>
      </c>
      <c r="P32" s="56">
        <v>0</v>
      </c>
      <c r="Q32" s="56">
        <v>0</v>
      </c>
      <c r="R32" s="55">
        <v>1</v>
      </c>
      <c r="S32" s="55">
        <v>1</v>
      </c>
      <c r="T32" s="55">
        <v>1</v>
      </c>
      <c r="U32" s="55">
        <v>1</v>
      </c>
      <c r="V32" s="55">
        <v>1</v>
      </c>
      <c r="W32" s="56">
        <v>1</v>
      </c>
      <c r="X32" s="56">
        <v>1</v>
      </c>
      <c r="Y32" s="55">
        <v>1</v>
      </c>
      <c r="Z32" s="55">
        <v>1</v>
      </c>
      <c r="AA32" s="55">
        <v>1</v>
      </c>
      <c r="AB32" s="55">
        <v>1</v>
      </c>
      <c r="AC32" s="55">
        <v>1</v>
      </c>
      <c r="AD32" s="56">
        <v>1</v>
      </c>
      <c r="AE32" s="56">
        <v>1</v>
      </c>
      <c r="AF32" s="55">
        <v>1</v>
      </c>
      <c r="AG32" s="55">
        <v>1</v>
      </c>
      <c r="AH32" s="55">
        <v>1</v>
      </c>
      <c r="AI32" s="55">
        <v>0</v>
      </c>
      <c r="AJ32" s="55">
        <v>0</v>
      </c>
      <c r="AK32" s="56">
        <v>0</v>
      </c>
      <c r="AL32" s="56">
        <v>0</v>
      </c>
      <c r="AM32" s="55">
        <v>0</v>
      </c>
      <c r="AN32" s="55">
        <v>0</v>
      </c>
      <c r="AO32" s="55">
        <v>0</v>
      </c>
      <c r="AP32" s="57">
        <v>0</v>
      </c>
      <c r="OU32" s="58" t="s">
        <v>70</v>
      </c>
    </row>
    <row r="33" ht="16" customHeight="1" spans="1:411" x14ac:dyDescent="0.25">
      <c r="A33" s="72"/>
      <c r="B33" s="44"/>
      <c r="C33" s="45"/>
      <c r="D33" s="46"/>
      <c r="E33" s="53" t="s">
        <v>61</v>
      </c>
      <c r="F33" s="47"/>
      <c r="G33" s="47"/>
      <c r="H33" s="47"/>
      <c r="I33" s="47"/>
      <c r="J33" s="48"/>
      <c r="K33" s="54">
        <v>8</v>
      </c>
      <c r="L33" s="55">
        <v>8</v>
      </c>
      <c r="M33" s="55">
        <v>8</v>
      </c>
      <c r="N33" s="55">
        <v>8</v>
      </c>
      <c r="O33" s="55">
        <v>8</v>
      </c>
      <c r="P33" s="56">
        <v>0</v>
      </c>
      <c r="Q33" s="56">
        <v>0</v>
      </c>
      <c r="R33" s="55">
        <v>8</v>
      </c>
      <c r="S33" s="55">
        <v>8</v>
      </c>
      <c r="T33" s="55">
        <v>8</v>
      </c>
      <c r="U33" s="55">
        <v>12</v>
      </c>
      <c r="V33" s="55">
        <v>12</v>
      </c>
      <c r="W33" s="56">
        <v>12</v>
      </c>
      <c r="X33" s="56">
        <v>12</v>
      </c>
      <c r="Y33" s="55">
        <v>12</v>
      </c>
      <c r="Z33" s="55">
        <v>12</v>
      </c>
      <c r="AA33" s="55">
        <v>12</v>
      </c>
      <c r="AB33" s="55">
        <v>12</v>
      </c>
      <c r="AC33" s="55">
        <v>12</v>
      </c>
      <c r="AD33" s="56">
        <v>12</v>
      </c>
      <c r="AE33" s="56">
        <v>12</v>
      </c>
      <c r="AF33" s="55">
        <v>12</v>
      </c>
      <c r="AG33" s="55">
        <v>12</v>
      </c>
      <c r="AH33" s="55">
        <v>12</v>
      </c>
      <c r="AI33" s="55">
        <v>0</v>
      </c>
      <c r="AJ33" s="55">
        <v>0</v>
      </c>
      <c r="AK33" s="56">
        <v>0</v>
      </c>
      <c r="AL33" s="56">
        <v>0</v>
      </c>
      <c r="AM33" s="55">
        <v>0</v>
      </c>
      <c r="AN33" s="55">
        <v>0</v>
      </c>
      <c r="AO33" s="55">
        <v>0</v>
      </c>
      <c r="AP33" s="57">
        <v>0</v>
      </c>
      <c r="OU33" s="58" t="s">
        <v>70</v>
      </c>
    </row>
    <row r="34" ht="16" customHeight="1" spans="1:411" x14ac:dyDescent="0.25">
      <c r="A34" s="72"/>
      <c r="B34" s="44"/>
      <c r="C34" s="59">
        <f>F31*N(D34)</f>
        <v>17344.64</v>
      </c>
      <c r="D34" s="59">
        <f>IF(TRIM(B31)="","No rate",IFERROR(INDEX('Rate Tables'!C$7:C$161,MATCH(B31,'Rate Tables'!A$7:A$161,0)),"No rate"))</f>
        <v>105.76</v>
      </c>
      <c r="E34" s="53" t="s">
        <v>62</v>
      </c>
      <c r="F34" s="47"/>
      <c r="G34" s="47"/>
      <c r="H34" s="47"/>
      <c r="I34" s="47"/>
      <c r="J34" s="48"/>
      <c r="K34" s="60">
        <f>IF(AND(K32=1,K33=8,AND(IFERROR(INDEX('Job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hours")),8,MIN(IF(OR(K32&lt;=0,NOT(OR(AND(IFERROR(INDEX('Job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8"),FALSE))))),8,10),K33)*K32)),MAX(0,40*MAX(1,K32)-(0))))</f>
        <v>8</v>
      </c>
      <c r="L34" s="61">
        <f>IF(AND(L32=1,L33=8,AND(IFERROR(INDEX('Job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hours")),8,MIN(IF(OR(L32&lt;=0,NOT(OR(AND(IFERROR(INDEX('Job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8"),FALSE))))),8,10),L33)*L32)),MAX(0,40*MAX(1,L32)-(K34))))</f>
        <v>8</v>
      </c>
      <c r="M34" s="61">
        <f>IF(AND(M32=1,M33=8,AND(IFERROR(INDEX('Job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hours")),8,MIN(IF(OR(M32&lt;=0,NOT(OR(AND(IFERROR(INDEX('Job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8"),FALSE))))),8,10),M33)*M32)),MAX(0,40*MAX(1,M32)-(K34+L34))))</f>
        <v>8</v>
      </c>
      <c r="N34" s="61">
        <f>IF(AND(N32=1,N33=8,AND(IFERROR(INDEX('Job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hours")),8,MIN(IF(OR(N32&lt;=0,NOT(OR(AND(IFERROR(INDEX('Job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8"),FALSE))))),8,10),N33)*N32)),MAX(0,40*MAX(1,N32)-(K34+L34+M34))))</f>
        <v>8</v>
      </c>
      <c r="O34" s="61">
        <f>IF(AND(O32=1,O33=8,AND(IFERROR(INDEX('Job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hours")),8,MIN(IF(OR(O32&lt;=0,NOT(OR(AND(IFERROR(INDEX('Job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8"),FALSE))))),8,10),O33)*O32)),MAX(0,40*MAX(1,O32)-(K34+L34+M34+N34))))</f>
        <v>8</v>
      </c>
      <c r="P34" s="62">
        <f>IF(AND(P32=0,P33=0,AND(IFERROR(INDEX('Job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hours")),0,MIN(IF(OR(P32&lt;=0,NOT(OR(AND(IFERROR(INDEX('Job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8"),FALSE))))),8,10),P33)*P32)),MAX(0,40*MAX(1,P32)-(0))))</f>
        <v>0</v>
      </c>
      <c r="Q34" s="62">
        <f>IF(AND(Q32=0,Q33=0,AND(IFERROR(INDEX('Job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hours")),0,MIN(IF(OR(Q32&lt;=0,NOT(OR(AND(IFERROR(INDEX('Job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8"),FALSE))))),8,10),Q33)*Q32)),MAX(0,40*MAX(1,Q32)-(P34))))</f>
        <v>0</v>
      </c>
      <c r="R34" s="61">
        <f>IF(AND(R32=1,R33=8,AND(IFERROR(INDEX('Job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hours")),8,MIN(IF(OR(R32&lt;=0,NOT(OR(AND(IFERROR(INDEX('Job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8"),FALSE))))),8,10),R33)*R32)),MAX(0,40*MAX(1,R32)-(0))))</f>
        <v>8</v>
      </c>
      <c r="S34" s="61">
        <f>IF(AND(S32=1,S33=8,AND(IFERROR(INDEX('Job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hours")),8,MIN(IF(OR(S32&lt;=0,NOT(OR(AND(IFERROR(INDEX('Job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8"),FALSE))))),8,10),S33)*S32)),MAX(0,40*MAX(1,S32)-(R34))))</f>
        <v>8</v>
      </c>
      <c r="T34" s="61">
        <f>IF(AND(T32=1,T33=8,AND(IFERROR(INDEX('Job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hours")),8,MIN(IF(OR(T32&lt;=0,NOT(OR(AND(IFERROR(INDEX('Job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8"),FALSE))))),8,10),T33)*T32)),MAX(0,40*MAX(1,T32)-(R34+S34))))</f>
        <v>8</v>
      </c>
      <c r="U34" s="61">
        <f>IF(AND(U32=1,U33=12,AND(IFERROR(INDEX('Job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setup'!I$7:I$11,0)),"")=0))),10,MIN(IF(OR(U32&lt;=0,NOT(OR(AND(IFERROR(INDEX('Job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8"),FALSE))))),8,10),U33)*U32)),MAX(0,40*MAX(1,U32)-(0))))</f>
        <v>10</v>
      </c>
      <c r="V34" s="61">
        <f>IF(AND(V32=1,V33=12,AND(IFERROR(INDEX('Job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setup'!I$7:I$11,0)),"")=0))),10,MIN(IF(OR(V32&lt;=0,NOT(OR(AND(IFERROR(INDEX('Job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8"),FALSE))))),8,10),V33)*V32)),MAX(0,40*MAX(1,V32)-(U34))))</f>
        <v>10</v>
      </c>
      <c r="W34" s="62">
        <f>IF(AND(W32=1,W33=12,AND(IFERROR(INDEX('Job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setup'!I$7:I$11,0)),"")=0))),10,MIN(IF(OR(W32&lt;=0,NOT(OR(AND(IFERROR(INDEX('Job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8"),FALSE))))),8,10),W33)*W32)),MAX(0,40*MAX(1,W32)-(U34+V34))))</f>
        <v>10</v>
      </c>
      <c r="X34" s="62">
        <f>IF(AND(X32=1,X33=12,AND(IFERROR(INDEX('Job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setup'!I$7:I$11,0)),"")=0))),0,MIN(IF(OR(X32&lt;=0,NOT(OR(AND(IFERROR(INDEX('Job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8"),FALSE))))),8,10),X33)*X32)),MAX(0,40*MAX(1,X32)-(U34+V34+W34))))</f>
        <v>0</v>
      </c>
      <c r="Y34" s="61">
        <f>IF(AND(Y32=1,Y33=12,AND(IFERROR(INDEX('Job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setup'!I$7:I$11,0)),"")=0))),10,MIN(IF(OR(Y32&lt;=0,NOT(OR(AND(IFERROR(INDEX('Job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8"),FALSE))))),8,10),Y33)*Y32)),MAX(0,40*MAX(1,Y32)-(0))))</f>
        <v>10</v>
      </c>
      <c r="Z34" s="61">
        <f>IF(AND(Z32=1,Z33=12,AND(IFERROR(INDEX('Job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setup'!I$7:I$11,0)),"")=0))),10,MIN(IF(OR(Z32&lt;=0,NOT(OR(AND(IFERROR(INDEX('Job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8"),FALSE))))),8,10),Z33)*Z32)),MAX(0,40*MAX(1,Z32)-(Y34))))</f>
        <v>10</v>
      </c>
      <c r="AA34" s="61">
        <f>IF(AND(AA32=1,AA33=12,AND(IFERROR(INDEX('Job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setup'!I$7:I$11,0)),"")=0))),10,MIN(IF(OR(AA32&lt;=0,NOT(OR(AND(IFERROR(INDEX('Job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8"),FALSE))))),8,10),AA33)*AA32)),MAX(0,40*MAX(1,AA32)-(Y34+Z34))))</f>
        <v>10</v>
      </c>
      <c r="AB34" s="61">
        <f>IF(AND(AB32=1,AB33=12,AND(IFERROR(INDEX('Job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setup'!I$7:I$11,0)),"")=0))),10,MIN(IF(OR(AB32&lt;=0,NOT(OR(AND(IFERROR(INDEX('Job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8"),FALSE))))),8,10),AB33)*AB32)),MAX(0,40*MAX(1,AB32)-(Y34+Z34+AA34))))</f>
        <v>10</v>
      </c>
      <c r="AC34" s="61">
        <f>IF(AND(AC32=1,AC33=12,AND(IFERROR(INDEX('Job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setup'!I$7:I$11,0)),"")=0))),0,MIN(IF(OR(AC32&lt;=0,NOT(OR(AND(IFERROR(INDEX('Job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8"),FALSE))))),8,10),AC33)*AC32)),MAX(0,40*MAX(1,AC32)-(Y34+Z34+AA34+AB34))))</f>
        <v>0</v>
      </c>
      <c r="AD34" s="62">
        <f>IF(AND(AD32=1,AD33=12,AND(IFERROR(INDEX('Job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setup'!I$7:I$11,0)),"")=0))),0,MIN(IF(OR(AD32&lt;=0,NOT(OR(AND(IFERROR(INDEX('Job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8"),FALSE))))),8,10),AD33)*AD32)),MAX(0,40*MAX(1,AD32)-(Y34+Z34+AA34+AB34+AC34))))</f>
        <v>0</v>
      </c>
      <c r="AE34" s="62">
        <f>IF(AND(AE32=1,AE33=12,AND(IFERROR(INDEX('Job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setup'!I$7:I$11,0)),"")=0))),0,MIN(IF(OR(AE32&lt;=0,NOT(OR(AND(IFERROR(INDEX('Job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8"),FALSE))))),8,10),AE33)*AE32)),MAX(0,40*MAX(1,AE32)-(Y34+Z34+AA34+AB34+AC34+AD34))))</f>
        <v>0</v>
      </c>
      <c r="AF34" s="61">
        <f>IF(AND(AF32=1,AF33=12,AND(IFERROR(INDEX('Job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setup'!I$7:I$11,0)),"")=0))),10,MIN(IF(OR(AF32&lt;=0,NOT(OR(AND(IFERROR(INDEX('Job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8"),FALSE))))),8,10),AF33)*AF32)),MAX(0,40*MAX(1,AF32)-(0))))</f>
        <v>10</v>
      </c>
      <c r="AG34" s="61">
        <f>IF(AND(AG32=1,AG33=12,AND(IFERROR(INDEX('Job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setup'!I$7:I$11,0)),"")=0))),10,MIN(IF(OR(AG32&lt;=0,NOT(OR(AND(IFERROR(INDEX('Job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8"),FALSE))))),8,10),AG33)*AG32)),MAX(0,40*MAX(1,AG32)-(AF34))))</f>
        <v>10</v>
      </c>
      <c r="AH34" s="61">
        <f>IF(AND(AH32=1,AH33=12,AND(IFERROR(INDEX('Job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setup'!I$7:I$11,0)),"")=0))),10,MIN(IF(OR(AH32&lt;=0,NOT(OR(AND(IFERROR(INDEX('Job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8"),FALSE))))),8,10),AH33)*AH32)),MAX(0,40*MAX(1,AH32)-(AF34+AG34))))</f>
        <v>10</v>
      </c>
      <c r="AI34" s="61">
        <f>IF(AND(AI32=0,AI33=0,AND(IFERROR(INDEX('Job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hours")),0,MIN(IF(OR(AI32&lt;=0,NOT(OR(AND(IFERROR(INDEX('Job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8"),FALSE))))),8,10),AI33)*AI32)),MAX(0,40*MAX(1,AI32)-(0))))</f>
        <v>0</v>
      </c>
      <c r="AJ34" s="61">
        <f>IF(AND(AJ32=0,AJ33=0,AND(IFERROR(INDEX('Job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hours")),0,MIN(IF(OR(AJ32&lt;=0,NOT(OR(AND(IFERROR(INDEX('Job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8"),FALSE))))),8,10),AJ33)*AJ32)),MAX(0,40*MAX(1,AJ32)-(AI34))))</f>
        <v>0</v>
      </c>
      <c r="AK34" s="62">
        <f>IF(AND(AK32=0,AK33=0,AND(IFERROR(INDEX('Job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hours")),0,MIN(IF(OR(AK32&lt;=0,NOT(OR(AND(IFERROR(INDEX('Job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8"),FALSE))))),8,10),AK33)*AK32)),MAX(0,40*MAX(1,AK32)-(AI34+AJ34))))</f>
        <v>0</v>
      </c>
      <c r="AL34" s="62">
        <f>IF(AND(AL32=0,AL33=0,AND(IFERROR(INDEX('Job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hours")),0,MIN(IF(OR(AL32&lt;=0,NOT(OR(AND(IFERROR(INDEX('Job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8"),FALSE))))),8,10),AL33)*AL32)),MAX(0,40*MAX(1,AL32)-(AI34+AJ34+AK34))))</f>
        <v>0</v>
      </c>
      <c r="AM34" s="61">
        <f>IF(AND(AM32=0,AM33=0,AND(IFERROR(INDEX('Job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hours")),0,MIN(IF(OR(AM32&lt;=0,NOT(OR(AND(IFERROR(INDEX('Job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8"),FALSE))))),8,10),AM33)*AM32)),MAX(0,40*MAX(1,AM32)-(0))))</f>
        <v>0</v>
      </c>
      <c r="AN34" s="61">
        <f>IF(AND(AN32=0,AN33=0,AND(IFERROR(INDEX('Job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hours")),0,MIN(IF(OR(AN32&lt;=0,NOT(OR(AND(IFERROR(INDEX('Job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8"),FALSE))))),8,10),AN33)*AN32)),MAX(0,40*MAX(1,AN32)-(AM34))))</f>
        <v>0</v>
      </c>
      <c r="AO34" s="61">
        <f>IF(AND(AO32=0,AO33=0,AND(IFERROR(INDEX('Job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hours")),0,MIN(IF(OR(AO32&lt;=0,NOT(OR(AND(IFERROR(INDEX('Job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8"),FALSE))))),8,10),AO33)*AO32)),MAX(0,40*MAX(1,AO32)-(AM34+AN34))))</f>
        <v>0</v>
      </c>
      <c r="AP34" s="63">
        <f>IF(AND(AP32=0,AP33=0,AND(IFERROR(INDEX('Job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hours")),0,MIN(IF(OR(AP32&lt;=0,NOT(OR(AND(IFERROR(INDEX('Job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8"),FALSE))))),8,10),AP33)*AP32)),MAX(0,40*MAX(1,AP32)-(AM34+AN34+AO34))))</f>
        <v>0</v>
      </c>
      <c r="OU34" s="28" t="s">
        <v>70</v>
      </c>
    </row>
    <row r="35" ht="16" customHeight="1" spans="1:411" x14ac:dyDescent="0.25">
      <c r="A35" s="72"/>
      <c r="B35" s="44"/>
      <c r="C35" s="64">
        <f>G31*N(D35)</f>
        <v>6325.88</v>
      </c>
      <c r="D35" s="64">
        <f>IF(TRIM(B31)="","No rate",IFERROR(INDEX('Rate Tables'!D$7:D$161,MATCH(B31,'Rate Tables'!A$7:A$161,0)),"No rate"))</f>
        <v>143.77</v>
      </c>
      <c r="E35" s="53" t="s">
        <v>63</v>
      </c>
      <c r="F35" s="47"/>
      <c r="G35" s="47"/>
      <c r="H35" s="47"/>
      <c r="I35" s="47"/>
      <c r="J35" s="48"/>
      <c r="K35" s="60">
        <f>IF(AND(K32=1,K33=8,AND(IFERROR(INDEX('Job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hours")),0,IF(OR(K32&lt;=0,NOT(OR(AND(IFERROR(INDEX('Job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setup'!I$7:I$11,0)),"")&gt;=K$6)))),0,IF(WEEKDAY(K$6,1)=1,0,MAX(0,K33-(IF(IF(AND(IFERROR(INDEX('Job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8"),FALSE))))),8,10)))*K32))+((IF(OR(K32&lt;=0,NOT(OR(AND(IFERROR(INDEX('Job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8"),FALSE))))),8,10),K33)*K32)))-MIN(IF(OR(K32&lt;=0,NOT(OR(AND(IFERROR(INDEX('Job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8"),FALSE))))),8,10),K33)*K32)),MAX(0,40*MAX(1,K32)-(0)))))</f>
        <v>0</v>
      </c>
      <c r="L35" s="61">
        <f>IF(AND(L32=1,L33=8,AND(IFERROR(INDEX('Job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hours")),0,IF(OR(L32&lt;=0,NOT(OR(AND(IFERROR(INDEX('Job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setup'!I$7:I$11,0)),"")&gt;=L$6)))),0,IF(WEEKDAY(L$6,1)=1,0,MAX(0,L33-(IF(IF(AND(IFERROR(INDEX('Job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8"),FALSE))))),8,10)))*L32))+((IF(OR(L32&lt;=0,NOT(OR(AND(IFERROR(INDEX('Job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8"),FALSE))))),8,10),L33)*L32)))-MIN(IF(OR(L32&lt;=0,NOT(OR(AND(IFERROR(INDEX('Job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8"),FALSE))))),8,10),L33)*L32)),MAX(0,40*MAX(1,L32)-(K34)))))</f>
        <v>0</v>
      </c>
      <c r="M35" s="61">
        <f>IF(AND(M32=1,M33=8,AND(IFERROR(INDEX('Job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hours")),0,IF(OR(M32&lt;=0,NOT(OR(AND(IFERROR(INDEX('Job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setup'!I$7:I$11,0)),"")&gt;=M$6)))),0,IF(WEEKDAY(M$6,1)=1,0,MAX(0,M33-(IF(IF(AND(IFERROR(INDEX('Job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8"),FALSE))))),8,10)))*M32))+((IF(OR(M32&lt;=0,NOT(OR(AND(IFERROR(INDEX('Job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8"),FALSE))))),8,10),M33)*M32)))-MIN(IF(OR(M32&lt;=0,NOT(OR(AND(IFERROR(INDEX('Job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8"),FALSE))))),8,10),M33)*M32)),MAX(0,40*MAX(1,M32)-(K34+L34)))))</f>
        <v>0</v>
      </c>
      <c r="N35" s="61">
        <f>IF(AND(N32=1,N33=8,AND(IFERROR(INDEX('Job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hours")),0,IF(OR(N32&lt;=0,NOT(OR(AND(IFERROR(INDEX('Job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setup'!I$7:I$11,0)),"")&gt;=N$6)))),0,IF(WEEKDAY(N$6,1)=1,0,MAX(0,N33-(IF(IF(AND(IFERROR(INDEX('Job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8"),FALSE))))),8,10)))*N32))+((IF(OR(N32&lt;=0,NOT(OR(AND(IFERROR(INDEX('Job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8"),FALSE))))),8,10),N33)*N32)))-MIN(IF(OR(N32&lt;=0,NOT(OR(AND(IFERROR(INDEX('Job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8"),FALSE))))),8,10),N33)*N32)),MAX(0,40*MAX(1,N32)-(K34+L34+M34)))))</f>
        <v>0</v>
      </c>
      <c r="O35" s="61">
        <f>IF(AND(O32=1,O33=8,AND(IFERROR(INDEX('Job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hours")),0,IF(OR(O32&lt;=0,NOT(OR(AND(IFERROR(INDEX('Job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setup'!I$7:I$11,0)),"")&gt;=O$6)))),0,IF(WEEKDAY(O$6,1)=1,0,MAX(0,O33-(IF(IF(AND(IFERROR(INDEX('Job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8"),FALSE))))),8,10)))*O32))+((IF(OR(O32&lt;=0,NOT(OR(AND(IFERROR(INDEX('Job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8"),FALSE))))),8,10),O33)*O32)))-MIN(IF(OR(O32&lt;=0,NOT(OR(AND(IFERROR(INDEX('Job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8"),FALSE))))),8,10),O33)*O32)),MAX(0,40*MAX(1,O32)-(K34+L34+M34+N34)))))</f>
        <v>0</v>
      </c>
      <c r="P35" s="62">
        <f>IF(AND(P32=0,P33=0,AND(IFERROR(INDEX('Job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hours")),0,IF(OR(P32&lt;=0,NOT(OR(AND(IFERROR(INDEX('Job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setup'!I$7:I$11,0)),"")&gt;=P$6)))),0,IF(WEEKDAY(P$6,1)=1,0,MAX(0,P33-(IF(IF(AND(IFERROR(INDEX('Job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8"),FALSE))))),8,10)))*P32))+((IF(OR(P32&lt;=0,NOT(OR(AND(IFERROR(INDEX('Job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8"),FALSE))))),8,10),P33)*P32)))-MIN(IF(OR(P32&lt;=0,NOT(OR(AND(IFERROR(INDEX('Job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8"),FALSE))))),8,10),P33)*P32)),MAX(0,40*MAX(1,P32)-(0)))))</f>
        <v>0</v>
      </c>
      <c r="Q35" s="62">
        <f>IF(AND(Q32=0,Q33=0,AND(IFERROR(INDEX('Job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hours")),0,IF(OR(Q32&lt;=0,NOT(OR(AND(IFERROR(INDEX('Job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setup'!I$7:I$11,0)),"")&gt;=Q$6)))),0,IF(WEEKDAY(Q$6,1)=1,0,MAX(0,Q33-(IF(IF(AND(IFERROR(INDEX('Job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8"),FALSE))))),8,10)))*Q32))+((IF(OR(Q32&lt;=0,NOT(OR(AND(IFERROR(INDEX('Job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8"),FALSE))))),8,10),Q33)*Q32)))-MIN(IF(OR(Q32&lt;=0,NOT(OR(AND(IFERROR(INDEX('Job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8"),FALSE))))),8,10),Q33)*Q32)),MAX(0,40*MAX(1,Q32)-(P34)))))</f>
        <v>0</v>
      </c>
      <c r="R35" s="61">
        <f>IF(AND(R32=1,R33=8,AND(IFERROR(INDEX('Job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hours")),0,IF(OR(R32&lt;=0,NOT(OR(AND(IFERROR(INDEX('Job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setup'!I$7:I$11,0)),"")&gt;=R$6)))),0,IF(WEEKDAY(R$6,1)=1,0,MAX(0,R33-(IF(IF(AND(IFERROR(INDEX('Job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8"),FALSE))))),8,10)))*R32))+((IF(OR(R32&lt;=0,NOT(OR(AND(IFERROR(INDEX('Job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8"),FALSE))))),8,10),R33)*R32)))-MIN(IF(OR(R32&lt;=0,NOT(OR(AND(IFERROR(INDEX('Job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8"),FALSE))))),8,10),R33)*R32)),MAX(0,40*MAX(1,R32)-(0)))))</f>
        <v>0</v>
      </c>
      <c r="S35" s="61">
        <f>IF(AND(S32=1,S33=8,AND(IFERROR(INDEX('Job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hours")),0,IF(OR(S32&lt;=0,NOT(OR(AND(IFERROR(INDEX('Job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setup'!I$7:I$11,0)),"")&gt;=S$6)))),0,IF(WEEKDAY(S$6,1)=1,0,MAX(0,S33-(IF(IF(AND(IFERROR(INDEX('Job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8"),FALSE))))),8,10)))*S32))+((IF(OR(S32&lt;=0,NOT(OR(AND(IFERROR(INDEX('Job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8"),FALSE))))),8,10),S33)*S32)))-MIN(IF(OR(S32&lt;=0,NOT(OR(AND(IFERROR(INDEX('Job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8"),FALSE))))),8,10),S33)*S32)),MAX(0,40*MAX(1,S32)-(R34)))))</f>
        <v>0</v>
      </c>
      <c r="T35" s="61">
        <f>IF(AND(T32=1,T33=8,AND(IFERROR(INDEX('Job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hours")),0,IF(OR(T32&lt;=0,NOT(OR(AND(IFERROR(INDEX('Job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setup'!I$7:I$11,0)),"")&gt;=T$6)))),0,IF(WEEKDAY(T$6,1)=1,0,MAX(0,T33-(IF(IF(AND(IFERROR(INDEX('Job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8"),FALSE))))),8,10)))*T32))+((IF(OR(T32&lt;=0,NOT(OR(AND(IFERROR(INDEX('Job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8"),FALSE))))),8,10),T33)*T32)))-MIN(IF(OR(T32&lt;=0,NOT(OR(AND(IFERROR(INDEX('Job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8"),FALSE))))),8,10),T33)*T32)),MAX(0,40*MAX(1,T32)-(R34+S34)))))</f>
        <v>0</v>
      </c>
      <c r="U35" s="61">
        <f>IF(AND(U32=1,U33=12,AND(IFERROR(INDEX('Job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setup'!I$7:I$11,0)),"")=0))),2,IF(OR(U32&lt;=0,NOT(OR(AND(IFERROR(INDEX('Job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setup'!I$7:I$11,0)),"")&gt;=U$6)))),0,IF(WEEKDAY(U$6,1)=1,0,MAX(0,U33-(IF(IF(AND(IFERROR(INDEX('Job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8"),FALSE))))),8,10)))*U32))+((IF(OR(U32&lt;=0,NOT(OR(AND(IFERROR(INDEX('Job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8"),FALSE))))),8,10),U33)*U32)))-MIN(IF(OR(U32&lt;=0,NOT(OR(AND(IFERROR(INDEX('Job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8"),FALSE))))),8,10),U33)*U32)),MAX(0,40*MAX(1,U32)-(0)))))</f>
        <v>2</v>
      </c>
      <c r="V35" s="61">
        <f>IF(AND(V32=1,V33=12,AND(IFERROR(INDEX('Job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setup'!I$7:I$11,0)),"")=0))),2,IF(OR(V32&lt;=0,NOT(OR(AND(IFERROR(INDEX('Job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setup'!I$7:I$11,0)),"")&gt;=V$6)))),0,IF(WEEKDAY(V$6,1)=1,0,MAX(0,V33-(IF(IF(AND(IFERROR(INDEX('Job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8"),FALSE))))),8,10)))*V32))+((IF(OR(V32&lt;=0,NOT(OR(AND(IFERROR(INDEX('Job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8"),FALSE))))),8,10),V33)*V32)))-MIN(IF(OR(V32&lt;=0,NOT(OR(AND(IFERROR(INDEX('Job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8"),FALSE))))),8,10),V33)*V32)),MAX(0,40*MAX(1,V32)-(U34)))))</f>
        <v>2</v>
      </c>
      <c r="W35" s="62">
        <f>IF(AND(W32=1,W33=12,AND(IFERROR(INDEX('Job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setup'!I$7:I$11,0)),"")=0))),2,IF(OR(W32&lt;=0,NOT(OR(AND(IFERROR(INDEX('Job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setup'!I$7:I$11,0)),"")&gt;=W$6)))),0,IF(WEEKDAY(W$6,1)=1,0,MAX(0,W33-(IF(IF(AND(IFERROR(INDEX('Job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8"),FALSE))))),8,10)))*W32))+((IF(OR(W32&lt;=0,NOT(OR(AND(IFERROR(INDEX('Job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8"),FALSE))))),8,10),W33)*W32)))-MIN(IF(OR(W32&lt;=0,NOT(OR(AND(IFERROR(INDEX('Job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8"),FALSE))))),8,10),W33)*W32)),MAX(0,40*MAX(1,W32)-(U34+V34)))))</f>
        <v>2</v>
      </c>
      <c r="X35" s="62">
        <f>IF(AND(X32=1,X33=12,AND(IFERROR(INDEX('Job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setup'!I$7:I$11,0)),"")=0))),0,IF(OR(X32&lt;=0,NOT(OR(AND(IFERROR(INDEX('Job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setup'!I$7:I$11,0)),"")&gt;=X$6)))),0,IF(WEEKDAY(X$6,1)=1,0,MAX(0,X33-(IF(IF(AND(IFERROR(INDEX('Job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8"),FALSE))))),8,10)))*X32))+((IF(OR(X32&lt;=0,NOT(OR(AND(IFERROR(INDEX('Job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8"),FALSE))))),8,10),X33)*X32)))-MIN(IF(OR(X32&lt;=0,NOT(OR(AND(IFERROR(INDEX('Job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8"),FALSE))))),8,10),X33)*X32)),MAX(0,40*MAX(1,X32)-(U34+V34+W34)))))</f>
        <v>0</v>
      </c>
      <c r="Y35" s="61">
        <f>IF(AND(Y32=1,Y33=12,AND(IFERROR(INDEX('Job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setup'!I$7:I$11,0)),"")=0))),2,IF(OR(Y32&lt;=0,NOT(OR(AND(IFERROR(INDEX('Job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setup'!I$7:I$11,0)),"")&gt;=Y$6)))),0,IF(WEEKDAY(Y$6,1)=1,0,MAX(0,Y33-(IF(IF(AND(IFERROR(INDEX('Job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8"),FALSE))))),8,10)))*Y32))+((IF(OR(Y32&lt;=0,NOT(OR(AND(IFERROR(INDEX('Job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8"),FALSE))))),8,10),Y33)*Y32)))-MIN(IF(OR(Y32&lt;=0,NOT(OR(AND(IFERROR(INDEX('Job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8"),FALSE))))),8,10),Y33)*Y32)),MAX(0,40*MAX(1,Y32)-(0)))))</f>
        <v>2</v>
      </c>
      <c r="Z35" s="61">
        <f>IF(AND(Z32=1,Z33=12,AND(IFERROR(INDEX('Job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setup'!I$7:I$11,0)),"")=0))),2,IF(OR(Z32&lt;=0,NOT(OR(AND(IFERROR(INDEX('Job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setup'!I$7:I$11,0)),"")&gt;=Z$6)))),0,IF(WEEKDAY(Z$6,1)=1,0,MAX(0,Z33-(IF(IF(AND(IFERROR(INDEX('Job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8"),FALSE))))),8,10)))*Z32))+((IF(OR(Z32&lt;=0,NOT(OR(AND(IFERROR(INDEX('Job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8"),FALSE))))),8,10),Z33)*Z32)))-MIN(IF(OR(Z32&lt;=0,NOT(OR(AND(IFERROR(INDEX('Job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8"),FALSE))))),8,10),Z33)*Z32)),MAX(0,40*MAX(1,Z32)-(Y34)))))</f>
        <v>2</v>
      </c>
      <c r="AA35" s="61">
        <f>IF(AND(AA32=1,AA33=12,AND(IFERROR(INDEX('Job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setup'!I$7:I$11,0)),"")=0))),2,IF(OR(AA32&lt;=0,NOT(OR(AND(IFERROR(INDEX('Job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setup'!I$7:I$11,0)),"")&gt;=AA$6)))),0,IF(WEEKDAY(AA$6,1)=1,0,MAX(0,AA33-(IF(IF(AND(IFERROR(INDEX('Job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8"),FALSE))))),8,10)))*AA32))+((IF(OR(AA32&lt;=0,NOT(OR(AND(IFERROR(INDEX('Job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8"),FALSE))))),8,10),AA33)*AA32)))-MIN(IF(OR(AA32&lt;=0,NOT(OR(AND(IFERROR(INDEX('Job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8"),FALSE))))),8,10),AA33)*AA32)),MAX(0,40*MAX(1,AA32)-(Y34+Z34)))))</f>
        <v>2</v>
      </c>
      <c r="AB35" s="61">
        <f>IF(AND(AB32=1,AB33=12,AND(IFERROR(INDEX('Job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setup'!I$7:I$11,0)),"")=0))),2,IF(OR(AB32&lt;=0,NOT(OR(AND(IFERROR(INDEX('Job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setup'!I$7:I$11,0)),"")&gt;=AB$6)))),0,IF(WEEKDAY(AB$6,1)=1,0,MAX(0,AB33-(IF(IF(AND(IFERROR(INDEX('Job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8"),FALSE))))),8,10)))*AB32))+((IF(OR(AB32&lt;=0,NOT(OR(AND(IFERROR(INDEX('Job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8"),FALSE))))),8,10),AB33)*AB32)))-MIN(IF(OR(AB32&lt;=0,NOT(OR(AND(IFERROR(INDEX('Job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8"),FALSE))))),8,10),AB33)*AB32)),MAX(0,40*MAX(1,AB32)-(Y34+Z34+AA34)))))</f>
        <v>2</v>
      </c>
      <c r="AC35" s="61">
        <f>IF(AND(AC32=1,AC33=12,AND(IFERROR(INDEX('Job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setup'!I$7:I$11,0)),"")=0))),12,IF(OR(AC32&lt;=0,NOT(OR(AND(IFERROR(INDEX('Job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setup'!I$7:I$11,0)),"")&gt;=AC$6)))),0,IF(WEEKDAY(AC$6,1)=1,0,MAX(0,AC33-(IF(IF(AND(IFERROR(INDEX('Job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8"),FALSE))))),8,10)))*AC32))+((IF(OR(AC32&lt;=0,NOT(OR(AND(IFERROR(INDEX('Job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8"),FALSE))))),8,10),AC33)*AC32)))-MIN(IF(OR(AC32&lt;=0,NOT(OR(AND(IFERROR(INDEX('Job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8"),FALSE))))),8,10),AC33)*AC32)),MAX(0,40*MAX(1,AC32)-(Y34+Z34+AA34+AB34)))))</f>
        <v>12</v>
      </c>
      <c r="AD35" s="62">
        <f>IF(AND(AD32=1,AD33=12,AND(IFERROR(INDEX('Job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setup'!I$7:I$11,0)),"")=0))),12,IF(OR(AD32&lt;=0,NOT(OR(AND(IFERROR(INDEX('Job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setup'!I$7:I$11,0)),"")&gt;=AD$6)))),0,IF(WEEKDAY(AD$6,1)=1,0,MAX(0,AD33-(IF(IF(AND(IFERROR(INDEX('Job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8"),FALSE))))),8,10)))*AD32))+((IF(OR(AD32&lt;=0,NOT(OR(AND(IFERROR(INDEX('Job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8"),FALSE))))),8,10),AD33)*AD32)))-MIN(IF(OR(AD32&lt;=0,NOT(OR(AND(IFERROR(INDEX('Job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8"),FALSE))))),8,10),AD33)*AD32)),MAX(0,40*MAX(1,AD32)-(Y34+Z34+AA34+AB34+AC34)))))</f>
        <v>12</v>
      </c>
      <c r="AE35" s="62">
        <f>IF(AND(AE32=1,AE33=12,AND(IFERROR(INDEX('Job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setup'!I$7:I$11,0)),"")=0))),0,IF(OR(AE32&lt;=0,NOT(OR(AND(IFERROR(INDEX('Job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setup'!I$7:I$11,0)),"")&gt;=AE$6)))),0,IF(WEEKDAY(AE$6,1)=1,0,MAX(0,AE33-(IF(IF(AND(IFERROR(INDEX('Job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8"),FALSE))))),8,10)))*AE32))+((IF(OR(AE32&lt;=0,NOT(OR(AND(IFERROR(INDEX('Job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8"),FALSE))))),8,10),AE33)*AE32)))-MIN(IF(OR(AE32&lt;=0,NOT(OR(AND(IFERROR(INDEX('Job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8"),FALSE))))),8,10),AE33)*AE32)),MAX(0,40*MAX(1,AE32)-(Y34+Z34+AA34+AB34+AC34+AD34)))))</f>
        <v>0</v>
      </c>
      <c r="AF35" s="61">
        <f>IF(AND(AF32=1,AF33=12,AND(IFERROR(INDEX('Job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setup'!I$7:I$11,0)),"")=0))),2,IF(OR(AF32&lt;=0,NOT(OR(AND(IFERROR(INDEX('Job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setup'!I$7:I$11,0)),"")&gt;=AF$6)))),0,IF(WEEKDAY(AF$6,1)=1,0,MAX(0,AF33-(IF(IF(AND(IFERROR(INDEX('Job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8"),FALSE))))),8,10)))*AF32))+((IF(OR(AF32&lt;=0,NOT(OR(AND(IFERROR(INDEX('Job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8"),FALSE))))),8,10),AF33)*AF32)))-MIN(IF(OR(AF32&lt;=0,NOT(OR(AND(IFERROR(INDEX('Job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8"),FALSE))))),8,10),AF33)*AF32)),MAX(0,40*MAX(1,AF32)-(0)))))</f>
        <v>2</v>
      </c>
      <c r="AG35" s="61">
        <f>IF(AND(AG32=1,AG33=12,AND(IFERROR(INDEX('Job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setup'!I$7:I$11,0)),"")=0))),2,IF(OR(AG32&lt;=0,NOT(OR(AND(IFERROR(INDEX('Job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setup'!I$7:I$11,0)),"")&gt;=AG$6)))),0,IF(WEEKDAY(AG$6,1)=1,0,MAX(0,AG33-(IF(IF(AND(IFERROR(INDEX('Job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8"),FALSE))))),8,10)))*AG32))+((IF(OR(AG32&lt;=0,NOT(OR(AND(IFERROR(INDEX('Job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8"),FALSE))))),8,10),AG33)*AG32)))-MIN(IF(OR(AG32&lt;=0,NOT(OR(AND(IFERROR(INDEX('Job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8"),FALSE))))),8,10),AG33)*AG32)),MAX(0,40*MAX(1,AG32)-(AF34)))))</f>
        <v>2</v>
      </c>
      <c r="AH35" s="61">
        <f>IF(AND(AH32=1,AH33=12,AND(IFERROR(INDEX('Job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setup'!I$7:I$11,0)),"")=0))),2,IF(OR(AH32&lt;=0,NOT(OR(AND(IFERROR(INDEX('Job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setup'!I$7:I$11,0)),"")&gt;=AH$6)))),0,IF(WEEKDAY(AH$6,1)=1,0,MAX(0,AH33-(IF(IF(AND(IFERROR(INDEX('Job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8"),FALSE))))),8,10)))*AH32))+((IF(OR(AH32&lt;=0,NOT(OR(AND(IFERROR(INDEX('Job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8"),FALSE))))),8,10),AH33)*AH32)))-MIN(IF(OR(AH32&lt;=0,NOT(OR(AND(IFERROR(INDEX('Job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8"),FALSE))))),8,10),AH33)*AH32)),MAX(0,40*MAX(1,AH32)-(AF34+AG34)))))</f>
        <v>2</v>
      </c>
      <c r="AI35" s="61">
        <f>IF(AND(AI32=0,AI33=0,AND(IFERROR(INDEX('Job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hours")),0,IF(OR(AI32&lt;=0,NOT(OR(AND(IFERROR(INDEX('Job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setup'!I$7:I$11,0)),"")&gt;=AI$6)))),0,IF(WEEKDAY(AI$6,1)=1,0,MAX(0,AI33-(IF(IF(AND(IFERROR(INDEX('Job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8"),FALSE))))),8,10)))*AI32))+((IF(OR(AI32&lt;=0,NOT(OR(AND(IFERROR(INDEX('Job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8"),FALSE))))),8,10),AI33)*AI32)))-MIN(IF(OR(AI32&lt;=0,NOT(OR(AND(IFERROR(INDEX('Job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8"),FALSE))))),8,10),AI33)*AI32)),MAX(0,40*MAX(1,AI32)-(0)))))</f>
        <v>0</v>
      </c>
      <c r="AJ35" s="61">
        <f>IF(AND(AJ32=0,AJ33=0,AND(IFERROR(INDEX('Job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hours")),0,IF(OR(AJ32&lt;=0,NOT(OR(AND(IFERROR(INDEX('Job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setup'!I$7:I$11,0)),"")&gt;=AJ$6)))),0,IF(WEEKDAY(AJ$6,1)=1,0,MAX(0,AJ33-(IF(IF(AND(IFERROR(INDEX('Job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8"),FALSE))))),8,10)))*AJ32))+((IF(OR(AJ32&lt;=0,NOT(OR(AND(IFERROR(INDEX('Job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8"),FALSE))))),8,10),AJ33)*AJ32)))-MIN(IF(OR(AJ32&lt;=0,NOT(OR(AND(IFERROR(INDEX('Job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8"),FALSE))))),8,10),AJ33)*AJ32)),MAX(0,40*MAX(1,AJ32)-(AI34)))))</f>
        <v>0</v>
      </c>
      <c r="AK35" s="62">
        <f>IF(AND(AK32=0,AK33=0,AND(IFERROR(INDEX('Job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hours")),0,IF(OR(AK32&lt;=0,NOT(OR(AND(IFERROR(INDEX('Job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setup'!I$7:I$11,0)),"")&gt;=AK$6)))),0,IF(WEEKDAY(AK$6,1)=1,0,MAX(0,AK33-(IF(IF(AND(IFERROR(INDEX('Job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8"),FALSE))))),8,10)))*AK32))+((IF(OR(AK32&lt;=0,NOT(OR(AND(IFERROR(INDEX('Job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8"),FALSE))))),8,10),AK33)*AK32)))-MIN(IF(OR(AK32&lt;=0,NOT(OR(AND(IFERROR(INDEX('Job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8"),FALSE))))),8,10),AK33)*AK32)),MAX(0,40*MAX(1,AK32)-(AI34+AJ34)))))</f>
        <v>0</v>
      </c>
      <c r="AL35" s="62">
        <f>IF(AND(AL32=0,AL33=0,AND(IFERROR(INDEX('Job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hours")),0,IF(OR(AL32&lt;=0,NOT(OR(AND(IFERROR(INDEX('Job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setup'!I$7:I$11,0)),"")&gt;=AL$6)))),0,IF(WEEKDAY(AL$6,1)=1,0,MAX(0,AL33-(IF(IF(AND(IFERROR(INDEX('Job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8"),FALSE))))),8,10)))*AL32))+((IF(OR(AL32&lt;=0,NOT(OR(AND(IFERROR(INDEX('Job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8"),FALSE))))),8,10),AL33)*AL32)))-MIN(IF(OR(AL32&lt;=0,NOT(OR(AND(IFERROR(INDEX('Job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8"),FALSE))))),8,10),AL33)*AL32)),MAX(0,40*MAX(1,AL32)-(AI34+AJ34+AK34)))))</f>
        <v>0</v>
      </c>
      <c r="AM35" s="61">
        <f>IF(AND(AM32=0,AM33=0,AND(IFERROR(INDEX('Job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hours")),0,IF(OR(AM32&lt;=0,NOT(OR(AND(IFERROR(INDEX('Job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setup'!I$7:I$11,0)),"")&gt;=AM$6)))),0,IF(WEEKDAY(AM$6,1)=1,0,MAX(0,AM33-(IF(IF(AND(IFERROR(INDEX('Job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8"),FALSE))))),8,10)))*AM32))+((IF(OR(AM32&lt;=0,NOT(OR(AND(IFERROR(INDEX('Job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8"),FALSE))))),8,10),AM33)*AM32)))-MIN(IF(OR(AM32&lt;=0,NOT(OR(AND(IFERROR(INDEX('Job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8"),FALSE))))),8,10),AM33)*AM32)),MAX(0,40*MAX(1,AM32)-(0)))))</f>
        <v>0</v>
      </c>
      <c r="AN35" s="61">
        <f>IF(AND(AN32=0,AN33=0,AND(IFERROR(INDEX('Job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hours")),0,IF(OR(AN32&lt;=0,NOT(OR(AND(IFERROR(INDEX('Job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setup'!I$7:I$11,0)),"")&gt;=AN$6)))),0,IF(WEEKDAY(AN$6,1)=1,0,MAX(0,AN33-(IF(IF(AND(IFERROR(INDEX('Job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8"),FALSE))))),8,10)))*AN32))+((IF(OR(AN32&lt;=0,NOT(OR(AND(IFERROR(INDEX('Job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8"),FALSE))))),8,10),AN33)*AN32)))-MIN(IF(OR(AN32&lt;=0,NOT(OR(AND(IFERROR(INDEX('Job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8"),FALSE))))),8,10),AN33)*AN32)),MAX(0,40*MAX(1,AN32)-(AM34)))))</f>
        <v>0</v>
      </c>
      <c r="AO35" s="61">
        <f>IF(AND(AO32=0,AO33=0,AND(IFERROR(INDEX('Job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hours")),0,IF(OR(AO32&lt;=0,NOT(OR(AND(IFERROR(INDEX('Job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setup'!I$7:I$11,0)),"")&gt;=AO$6)))),0,IF(WEEKDAY(AO$6,1)=1,0,MAX(0,AO33-(IF(IF(AND(IFERROR(INDEX('Job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8"),FALSE))))),8,10)))*AO32))+((IF(OR(AO32&lt;=0,NOT(OR(AND(IFERROR(INDEX('Job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8"),FALSE))))),8,10),AO33)*AO32)))-MIN(IF(OR(AO32&lt;=0,NOT(OR(AND(IFERROR(INDEX('Job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8"),FALSE))))),8,10),AO33)*AO32)),MAX(0,40*MAX(1,AO32)-(AM34+AN34)))))</f>
        <v>0</v>
      </c>
      <c r="AP35" s="63">
        <f>IF(AND(AP32=0,AP33=0,AND(IFERROR(INDEX('Job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hours")),0,IF(OR(AP32&lt;=0,NOT(OR(AND(IFERROR(INDEX('Job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setup'!I$7:I$11,0)),"")&gt;=AP$6)))),0,IF(WEEKDAY(AP$6,1)=1,0,MAX(0,AP33-(IF(IF(AND(IFERROR(INDEX('Job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8"),FALSE))))),8,10)))*AP32))+((IF(OR(AP32&lt;=0,NOT(OR(AND(IFERROR(INDEX('Job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8"),FALSE))))),8,10),AP33)*AP32)))-MIN(IF(OR(AP32&lt;=0,NOT(OR(AND(IFERROR(INDEX('Job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8"),FALSE))))),8,10),AP33)*AP32)),MAX(0,40*MAX(1,AP32)-(AM34+AN34+AO34)))))</f>
        <v>0</v>
      </c>
      <c r="OU35" s="28" t="s">
        <v>70</v>
      </c>
    </row>
    <row r="36" ht="16" customHeight="1" spans="1:411" x14ac:dyDescent="0.25">
      <c r="A36" s="72"/>
      <c r="B36" s="44"/>
      <c r="C36" s="59">
        <f>H31*N(D36)</f>
        <v>4362.96</v>
      </c>
      <c r="D36" s="59">
        <f>IF(TRIM(B31)="","No rate",IFERROR(INDEX('Rate Tables'!E$7:E$161,MATCH(B31,'Rate Tables'!A$7:A$161,0)),"No rate"))</f>
        <v>181.79</v>
      </c>
      <c r="E36" s="53" t="s">
        <v>64</v>
      </c>
      <c r="F36" s="47"/>
      <c r="G36" s="47"/>
      <c r="H36" s="47"/>
      <c r="I36" s="47"/>
      <c r="J36" s="48"/>
      <c r="K36" s="60">
        <f>IF(AND(K32=1,K33=8,AND(IFERROR(INDEX('Job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hours")),0,IF(OR(K32&lt;=0,NOT(OR(AND(IFERROR(INDEX('Job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setup'!I$7:I$11,0)),"")&gt;=K$6)))),0,IF(WEEKDAY(K$6,1)=1,K32*K33,0)))</f>
        <v>0</v>
      </c>
      <c r="L36" s="61">
        <f>IF(AND(L32=1,L33=8,AND(IFERROR(INDEX('Job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hours")),0,IF(OR(L32&lt;=0,NOT(OR(AND(IFERROR(INDEX('Job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setup'!I$7:I$11,0)),"")&gt;=L$6)))),0,IF(WEEKDAY(L$6,1)=1,L32*L33,0)))</f>
        <v>0</v>
      </c>
      <c r="M36" s="61">
        <f>IF(AND(M32=1,M33=8,AND(IFERROR(INDEX('Job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hours")),0,IF(OR(M32&lt;=0,NOT(OR(AND(IFERROR(INDEX('Job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setup'!I$7:I$11,0)),"")&gt;=M$6)))),0,IF(WEEKDAY(M$6,1)=1,M32*M33,0)))</f>
        <v>0</v>
      </c>
      <c r="N36" s="61">
        <f>IF(AND(N32=1,N33=8,AND(IFERROR(INDEX('Job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hours")),0,IF(OR(N32&lt;=0,NOT(OR(AND(IFERROR(INDEX('Job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setup'!I$7:I$11,0)),"")&gt;=N$6)))),0,IF(WEEKDAY(N$6,1)=1,N32*N33,0)))</f>
        <v>0</v>
      </c>
      <c r="O36" s="61">
        <f>IF(AND(O32=1,O33=8,AND(IFERROR(INDEX('Job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hours")),0,IF(OR(O32&lt;=0,NOT(OR(AND(IFERROR(INDEX('Job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setup'!I$7:I$11,0)),"")&gt;=O$6)))),0,IF(WEEKDAY(O$6,1)=1,O32*O33,0)))</f>
        <v>0</v>
      </c>
      <c r="P36" s="62">
        <f>IF(AND(P32=0,P33=0,AND(IFERROR(INDEX('Job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hours")),0,IF(OR(P32&lt;=0,NOT(OR(AND(IFERROR(INDEX('Job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setup'!I$7:I$11,0)),"")&gt;=P$6)))),0,IF(WEEKDAY(P$6,1)=1,P32*P33,0)))</f>
        <v>0</v>
      </c>
      <c r="Q36" s="62">
        <f>IF(AND(Q32=0,Q33=0,AND(IFERROR(INDEX('Job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hours")),0,IF(OR(Q32&lt;=0,NOT(OR(AND(IFERROR(INDEX('Job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setup'!I$7:I$11,0)),"")&gt;=Q$6)))),0,IF(WEEKDAY(Q$6,1)=1,Q32*Q33,0)))</f>
        <v>0</v>
      </c>
      <c r="R36" s="61">
        <f>IF(AND(R32=1,R33=8,AND(IFERROR(INDEX('Job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hours")),0,IF(OR(R32&lt;=0,NOT(OR(AND(IFERROR(INDEX('Job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setup'!I$7:I$11,0)),"")&gt;=R$6)))),0,IF(WEEKDAY(R$6,1)=1,R32*R33,0)))</f>
        <v>0</v>
      </c>
      <c r="S36" s="61">
        <f>IF(AND(S32=1,S33=8,AND(IFERROR(INDEX('Job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hours")),0,IF(OR(S32&lt;=0,NOT(OR(AND(IFERROR(INDEX('Job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setup'!I$7:I$11,0)),"")&gt;=S$6)))),0,IF(WEEKDAY(S$6,1)=1,S32*S33,0)))</f>
        <v>0</v>
      </c>
      <c r="T36" s="61">
        <f>IF(AND(T32=1,T33=8,AND(IFERROR(INDEX('Job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hours")),0,IF(OR(T32&lt;=0,NOT(OR(AND(IFERROR(INDEX('Job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setup'!I$7:I$11,0)),"")&gt;=T$6)))),0,IF(WEEKDAY(T$6,1)=1,T32*T33,0)))</f>
        <v>0</v>
      </c>
      <c r="U36" s="61">
        <f>IF(AND(U32=1,U33=12,AND(IFERROR(INDEX('Job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setup'!I$7:I$11,0)),"")=0))),0,IF(OR(U32&lt;=0,NOT(OR(AND(IFERROR(INDEX('Job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setup'!I$7:I$11,0)),"")&gt;=U$6)))),0,IF(WEEKDAY(U$6,1)=1,U32*U33,0)))</f>
        <v>0</v>
      </c>
      <c r="V36" s="61">
        <f>IF(AND(V32=1,V33=12,AND(IFERROR(INDEX('Job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setup'!I$7:I$11,0)),"")=0))),0,IF(OR(V32&lt;=0,NOT(OR(AND(IFERROR(INDEX('Job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setup'!I$7:I$11,0)),"")&gt;=V$6)))),0,IF(WEEKDAY(V$6,1)=1,V32*V33,0)))</f>
        <v>0</v>
      </c>
      <c r="W36" s="62">
        <f>IF(AND(W32=1,W33=12,AND(IFERROR(INDEX('Job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setup'!I$7:I$11,0)),"")=0))),0,IF(OR(W32&lt;=0,NOT(OR(AND(IFERROR(INDEX('Job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setup'!I$7:I$11,0)),"")&gt;=W$6)))),0,IF(WEEKDAY(W$6,1)=1,W32*W33,0)))</f>
        <v>0</v>
      </c>
      <c r="X36" s="62">
        <f>IF(AND(X32=1,X33=12,AND(IFERROR(INDEX('Job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setup'!I$7:I$11,0)),"")=0))),12,IF(OR(X32&lt;=0,NOT(OR(AND(IFERROR(INDEX('Job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setup'!I$7:I$11,0)),"")&gt;=X$6)))),0,IF(WEEKDAY(X$6,1)=1,X32*X33,0)))</f>
        <v>12</v>
      </c>
      <c r="Y36" s="61">
        <f>IF(AND(Y32=1,Y33=12,AND(IFERROR(INDEX('Job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setup'!I$7:I$11,0)),"")=0))),0,IF(OR(Y32&lt;=0,NOT(OR(AND(IFERROR(INDEX('Job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setup'!I$7:I$11,0)),"")&gt;=Y$6)))),0,IF(WEEKDAY(Y$6,1)=1,Y32*Y33,0)))</f>
        <v>0</v>
      </c>
      <c r="Z36" s="61">
        <f>IF(AND(Z32=1,Z33=12,AND(IFERROR(INDEX('Job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setup'!I$7:I$11,0)),"")=0))),0,IF(OR(Z32&lt;=0,NOT(OR(AND(IFERROR(INDEX('Job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setup'!I$7:I$11,0)),"")&gt;=Z$6)))),0,IF(WEEKDAY(Z$6,1)=1,Z32*Z33,0)))</f>
        <v>0</v>
      </c>
      <c r="AA36" s="61">
        <f>IF(AND(AA32=1,AA33=12,AND(IFERROR(INDEX('Job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setup'!I$7:I$11,0)),"")=0))),0,IF(OR(AA32&lt;=0,NOT(OR(AND(IFERROR(INDEX('Job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setup'!I$7:I$11,0)),"")&gt;=AA$6)))),0,IF(WEEKDAY(AA$6,1)=1,AA32*AA33,0)))</f>
        <v>0</v>
      </c>
      <c r="AB36" s="61">
        <f>IF(AND(AB32=1,AB33=12,AND(IFERROR(INDEX('Job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setup'!I$7:I$11,0)),"")=0))),0,IF(OR(AB32&lt;=0,NOT(OR(AND(IFERROR(INDEX('Job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setup'!I$7:I$11,0)),"")&gt;=AB$6)))),0,IF(WEEKDAY(AB$6,1)=1,AB32*AB33,0)))</f>
        <v>0</v>
      </c>
      <c r="AC36" s="61">
        <f>IF(AND(AC32=1,AC33=12,AND(IFERROR(INDEX('Job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setup'!I$7:I$11,0)),"")=0))),0,IF(OR(AC32&lt;=0,NOT(OR(AND(IFERROR(INDEX('Job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setup'!I$7:I$11,0)),"")&gt;=AC$6)))),0,IF(WEEKDAY(AC$6,1)=1,AC32*AC33,0)))</f>
        <v>0</v>
      </c>
      <c r="AD36" s="62">
        <f>IF(AND(AD32=1,AD33=12,AND(IFERROR(INDEX('Job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setup'!I$7:I$11,0)),"")=0))),0,IF(OR(AD32&lt;=0,NOT(OR(AND(IFERROR(INDEX('Job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setup'!I$7:I$11,0)),"")&gt;=AD$6)))),0,IF(WEEKDAY(AD$6,1)=1,AD32*AD33,0)))</f>
        <v>0</v>
      </c>
      <c r="AE36" s="62">
        <f>IF(AND(AE32=1,AE33=12,AND(IFERROR(INDEX('Job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setup'!I$7:I$11,0)),"")=0))),12,IF(OR(AE32&lt;=0,NOT(OR(AND(IFERROR(INDEX('Job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setup'!I$7:I$11,0)),"")&gt;=AE$6)))),0,IF(WEEKDAY(AE$6,1)=1,AE32*AE33,0)))</f>
        <v>12</v>
      </c>
      <c r="AF36" s="61">
        <f>IF(AND(AF32=1,AF33=12,AND(IFERROR(INDEX('Job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setup'!I$7:I$11,0)),"")=0))),0,IF(OR(AF32&lt;=0,NOT(OR(AND(IFERROR(INDEX('Job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setup'!I$7:I$11,0)),"")&gt;=AF$6)))),0,IF(WEEKDAY(AF$6,1)=1,AF32*AF33,0)))</f>
        <v>0</v>
      </c>
      <c r="AG36" s="61">
        <f>IF(AND(AG32=1,AG33=12,AND(IFERROR(INDEX('Job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setup'!I$7:I$11,0)),"")=0))),0,IF(OR(AG32&lt;=0,NOT(OR(AND(IFERROR(INDEX('Job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setup'!I$7:I$11,0)),"")&gt;=AG$6)))),0,IF(WEEKDAY(AG$6,1)=1,AG32*AG33,0)))</f>
        <v>0</v>
      </c>
      <c r="AH36" s="61">
        <f>IF(AND(AH32=1,AH33=12,AND(IFERROR(INDEX('Job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setup'!I$7:I$11,0)),"")=0))),0,IF(OR(AH32&lt;=0,NOT(OR(AND(IFERROR(INDEX('Job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setup'!I$7:I$11,0)),"")&gt;=AH$6)))),0,IF(WEEKDAY(AH$6,1)=1,AH32*AH33,0)))</f>
        <v>0</v>
      </c>
      <c r="AI36" s="61">
        <f>IF(AND(AI32=0,AI33=0,AND(IFERROR(INDEX('Job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hours")),0,IF(OR(AI32&lt;=0,NOT(OR(AND(IFERROR(INDEX('Job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setup'!I$7:I$11,0)),"")&gt;=AI$6)))),0,IF(WEEKDAY(AI$6,1)=1,AI32*AI33,0)))</f>
        <v>0</v>
      </c>
      <c r="AJ36" s="61">
        <f>IF(AND(AJ32=0,AJ33=0,AND(IFERROR(INDEX('Job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hours")),0,IF(OR(AJ32&lt;=0,NOT(OR(AND(IFERROR(INDEX('Job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setup'!I$7:I$11,0)),"")&gt;=AJ$6)))),0,IF(WEEKDAY(AJ$6,1)=1,AJ32*AJ33,0)))</f>
        <v>0</v>
      </c>
      <c r="AK36" s="62">
        <f>IF(AND(AK32=0,AK33=0,AND(IFERROR(INDEX('Job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hours")),0,IF(OR(AK32&lt;=0,NOT(OR(AND(IFERROR(INDEX('Job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setup'!I$7:I$11,0)),"")&gt;=AK$6)))),0,IF(WEEKDAY(AK$6,1)=1,AK32*AK33,0)))</f>
        <v>0</v>
      </c>
      <c r="AL36" s="62">
        <f>IF(AND(AL32=0,AL33=0,AND(IFERROR(INDEX('Job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hours")),0,IF(OR(AL32&lt;=0,NOT(OR(AND(IFERROR(INDEX('Job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setup'!I$7:I$11,0)),"")&gt;=AL$6)))),0,IF(WEEKDAY(AL$6,1)=1,AL32*AL33,0)))</f>
        <v>0</v>
      </c>
      <c r="AM36" s="61">
        <f>IF(AND(AM32=0,AM33=0,AND(IFERROR(INDEX('Job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hours")),0,IF(OR(AM32&lt;=0,NOT(OR(AND(IFERROR(INDEX('Job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setup'!I$7:I$11,0)),"")&gt;=AM$6)))),0,IF(WEEKDAY(AM$6,1)=1,AM32*AM33,0)))</f>
        <v>0</v>
      </c>
      <c r="AN36" s="61">
        <f>IF(AND(AN32=0,AN33=0,AND(IFERROR(INDEX('Job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hours")),0,IF(OR(AN32&lt;=0,NOT(OR(AND(IFERROR(INDEX('Job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setup'!I$7:I$11,0)),"")&gt;=AN$6)))),0,IF(WEEKDAY(AN$6,1)=1,AN32*AN33,0)))</f>
        <v>0</v>
      </c>
      <c r="AO36" s="61">
        <f>IF(AND(AO32=0,AO33=0,AND(IFERROR(INDEX('Job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hours")),0,IF(OR(AO32&lt;=0,NOT(OR(AND(IFERROR(INDEX('Job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setup'!I$7:I$11,0)),"")&gt;=AO$6)))),0,IF(WEEKDAY(AO$6,1)=1,AO32*AO33,0)))</f>
        <v>0</v>
      </c>
      <c r="AP36" s="63">
        <f>IF(AND(AP32=0,AP33=0,AND(IFERROR(INDEX('Job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hours")),0,IF(OR(AP32&lt;=0,NOT(OR(AND(IFERROR(INDEX('Job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setup'!I$7:I$11,0)),"")&gt;=AP$6)))),0,IF(WEEKDAY(AP$6,1)=1,AP32*AP33,0)))</f>
        <v>0</v>
      </c>
      <c r="OU36" s="28" t="s">
        <v>70</v>
      </c>
    </row>
    <row r="37" ht="16" customHeight="1" spans="1:411" x14ac:dyDescent="0.25">
      <c r="A37" s="72"/>
      <c r="B37" s="44"/>
      <c r="C37" s="65">
        <f>I31*D37</f>
        <v>3080</v>
      </c>
      <c r="D37" s="65">
        <v>140</v>
      </c>
      <c r="E37" s="66" t="s">
        <v>65</v>
      </c>
      <c r="F37" s="47"/>
      <c r="G37" s="47"/>
      <c r="H37" s="47"/>
      <c r="I37" s="47"/>
      <c r="J37" s="48"/>
      <c r="K37" s="67">
        <v>1</v>
      </c>
      <c r="L37" s="68">
        <v>1</v>
      </c>
      <c r="M37" s="68">
        <v>1</v>
      </c>
      <c r="N37" s="68">
        <v>1</v>
      </c>
      <c r="O37" s="68">
        <v>1</v>
      </c>
      <c r="P37" s="69">
        <v>0</v>
      </c>
      <c r="Q37" s="69">
        <v>0</v>
      </c>
      <c r="R37" s="68">
        <v>1</v>
      </c>
      <c r="S37" s="68">
        <v>1</v>
      </c>
      <c r="T37" s="68">
        <v>1</v>
      </c>
      <c r="U37" s="68">
        <v>1</v>
      </c>
      <c r="V37" s="68">
        <v>1</v>
      </c>
      <c r="W37" s="69">
        <v>1</v>
      </c>
      <c r="X37" s="69">
        <v>1</v>
      </c>
      <c r="Y37" s="68">
        <v>1</v>
      </c>
      <c r="Z37" s="68">
        <v>1</v>
      </c>
      <c r="AA37" s="68">
        <v>1</v>
      </c>
      <c r="AB37" s="68">
        <v>1</v>
      </c>
      <c r="AC37" s="68">
        <v>1</v>
      </c>
      <c r="AD37" s="69">
        <v>1</v>
      </c>
      <c r="AE37" s="69">
        <v>1</v>
      </c>
      <c r="AF37" s="68">
        <v>1</v>
      </c>
      <c r="AG37" s="68">
        <v>1</v>
      </c>
      <c r="AH37" s="68">
        <v>1</v>
      </c>
      <c r="AI37" s="68">
        <v>0</v>
      </c>
      <c r="AJ37" s="68">
        <v>0</v>
      </c>
      <c r="AK37" s="69">
        <v>0</v>
      </c>
      <c r="AL37" s="69">
        <v>0</v>
      </c>
      <c r="AM37" s="68">
        <v>0</v>
      </c>
      <c r="AN37" s="68">
        <v>0</v>
      </c>
      <c r="AO37" s="68">
        <v>0</v>
      </c>
      <c r="AP37" s="70">
        <v>0</v>
      </c>
      <c r="OU37" s="58" t="s">
        <v>70</v>
      </c>
    </row>
    <row r="38" ht="8" customHeight="1" spans="1:42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</row>
    <row r="39" ht="16" customHeight="1" spans="1:411" x14ac:dyDescent="0.25">
      <c r="A39" s="43" t="s">
        <v>57</v>
      </c>
      <c r="B39" s="44" t="s">
        <v>71</v>
      </c>
      <c r="C39" s="45">
        <f>J39</f>
        <v>28354.399999999998</v>
      </c>
      <c r="D39" s="46"/>
      <c r="E39" s="46"/>
      <c r="F39" s="47">
        <f>SUM(K42:AP42)</f>
        <v>212</v>
      </c>
      <c r="G39" s="47">
        <f>SUM(K43:AP43)</f>
        <v>44</v>
      </c>
      <c r="H39" s="47">
        <f>SUM(K44:AP44)</f>
        <v>24</v>
      </c>
      <c r="I39" s="47">
        <f>SUM(K45:AP45)</f>
        <v>22</v>
      </c>
      <c r="J39" s="48">
        <f>C42+C43+C44</f>
        <v>28354.399999999998</v>
      </c>
      <c r="K39" s="49"/>
      <c r="L39" s="50"/>
      <c r="M39" s="50"/>
      <c r="N39" s="50"/>
      <c r="O39" s="50"/>
      <c r="P39" s="51"/>
      <c r="Q39" s="51"/>
      <c r="R39" s="50"/>
      <c r="S39" s="50"/>
      <c r="T39" s="50"/>
      <c r="U39" s="50"/>
      <c r="V39" s="50"/>
      <c r="W39" s="51"/>
      <c r="X39" s="51"/>
      <c r="Y39" s="50"/>
      <c r="Z39" s="50"/>
      <c r="AA39" s="50"/>
      <c r="AB39" s="50"/>
      <c r="AC39" s="50"/>
      <c r="AD39" s="51"/>
      <c r="AE39" s="51"/>
      <c r="AF39" s="50"/>
      <c r="AG39" s="50"/>
      <c r="AH39" s="50"/>
      <c r="AI39" s="50"/>
      <c r="AJ39" s="50"/>
      <c r="AK39" s="51"/>
      <c r="AL39" s="51"/>
      <c r="AM39" s="50"/>
      <c r="AN39" s="50"/>
      <c r="AO39" s="50"/>
      <c r="AP39" s="52"/>
      <c r="OU39" s="28" t="s">
        <v>72</v>
      </c>
    </row>
    <row r="40" ht="16" customHeight="1" spans="1:411" x14ac:dyDescent="0.25">
      <c r="A40" s="43"/>
      <c r="B40" s="44"/>
      <c r="C40" s="45"/>
      <c r="D40" s="46"/>
      <c r="E40" s="53" t="s">
        <v>60</v>
      </c>
      <c r="F40" s="47"/>
      <c r="G40" s="47"/>
      <c r="H40" s="47"/>
      <c r="I40" s="47"/>
      <c r="J40" s="48"/>
      <c r="K40" s="54">
        <v>1</v>
      </c>
      <c r="L40" s="55">
        <v>1</v>
      </c>
      <c r="M40" s="55">
        <v>1</v>
      </c>
      <c r="N40" s="55">
        <v>1</v>
      </c>
      <c r="O40" s="55">
        <v>1</v>
      </c>
      <c r="P40" s="56">
        <v>0</v>
      </c>
      <c r="Q40" s="56">
        <v>0</v>
      </c>
      <c r="R40" s="55">
        <v>1</v>
      </c>
      <c r="S40" s="55">
        <v>1</v>
      </c>
      <c r="T40" s="55">
        <v>1</v>
      </c>
      <c r="U40" s="55">
        <v>1</v>
      </c>
      <c r="V40" s="55">
        <v>1</v>
      </c>
      <c r="W40" s="56">
        <v>1</v>
      </c>
      <c r="X40" s="56">
        <v>1</v>
      </c>
      <c r="Y40" s="55">
        <v>1</v>
      </c>
      <c r="Z40" s="55">
        <v>1</v>
      </c>
      <c r="AA40" s="55">
        <v>1</v>
      </c>
      <c r="AB40" s="55">
        <v>1</v>
      </c>
      <c r="AC40" s="55">
        <v>1</v>
      </c>
      <c r="AD40" s="56">
        <v>1</v>
      </c>
      <c r="AE40" s="56">
        <v>1</v>
      </c>
      <c r="AF40" s="55">
        <v>1</v>
      </c>
      <c r="AG40" s="55">
        <v>1</v>
      </c>
      <c r="AH40" s="55">
        <v>1</v>
      </c>
      <c r="AI40" s="55">
        <v>1</v>
      </c>
      <c r="AJ40" s="55">
        <v>1</v>
      </c>
      <c r="AK40" s="56">
        <v>0</v>
      </c>
      <c r="AL40" s="56">
        <v>0</v>
      </c>
      <c r="AM40" s="55">
        <v>1</v>
      </c>
      <c r="AN40" s="55">
        <v>1</v>
      </c>
      <c r="AO40" s="55">
        <v>1</v>
      </c>
      <c r="AP40" s="57">
        <v>1</v>
      </c>
      <c r="OU40" s="58" t="s">
        <v>72</v>
      </c>
    </row>
    <row r="41" ht="16" customHeight="1" spans="1:411" x14ac:dyDescent="0.25">
      <c r="A41" s="43"/>
      <c r="B41" s="44"/>
      <c r="C41" s="45"/>
      <c r="D41" s="46"/>
      <c r="E41" s="53" t="s">
        <v>61</v>
      </c>
      <c r="F41" s="47"/>
      <c r="G41" s="47"/>
      <c r="H41" s="47"/>
      <c r="I41" s="47"/>
      <c r="J41" s="48"/>
      <c r="K41" s="54">
        <v>8</v>
      </c>
      <c r="L41" s="55">
        <v>8</v>
      </c>
      <c r="M41" s="55">
        <v>8</v>
      </c>
      <c r="N41" s="55">
        <v>8</v>
      </c>
      <c r="O41" s="55">
        <v>8</v>
      </c>
      <c r="P41" s="56">
        <v>0</v>
      </c>
      <c r="Q41" s="56">
        <v>0</v>
      </c>
      <c r="R41" s="55">
        <v>8</v>
      </c>
      <c r="S41" s="55">
        <v>8</v>
      </c>
      <c r="T41" s="55">
        <v>8</v>
      </c>
      <c r="U41" s="55">
        <v>12</v>
      </c>
      <c r="V41" s="55">
        <v>12</v>
      </c>
      <c r="W41" s="56">
        <v>12</v>
      </c>
      <c r="X41" s="56">
        <v>12</v>
      </c>
      <c r="Y41" s="55">
        <v>12</v>
      </c>
      <c r="Z41" s="55">
        <v>12</v>
      </c>
      <c r="AA41" s="55">
        <v>12</v>
      </c>
      <c r="AB41" s="55">
        <v>12</v>
      </c>
      <c r="AC41" s="55">
        <v>12</v>
      </c>
      <c r="AD41" s="56">
        <v>12</v>
      </c>
      <c r="AE41" s="56">
        <v>12</v>
      </c>
      <c r="AF41" s="55">
        <v>12</v>
      </c>
      <c r="AG41" s="55">
        <v>12</v>
      </c>
      <c r="AH41" s="55">
        <v>12</v>
      </c>
      <c r="AI41" s="55">
        <v>8</v>
      </c>
      <c r="AJ41" s="55">
        <v>8</v>
      </c>
      <c r="AK41" s="56">
        <v>0</v>
      </c>
      <c r="AL41" s="56">
        <v>0</v>
      </c>
      <c r="AM41" s="55">
        <v>8</v>
      </c>
      <c r="AN41" s="55">
        <v>8</v>
      </c>
      <c r="AO41" s="55">
        <v>8</v>
      </c>
      <c r="AP41" s="57">
        <v>8</v>
      </c>
      <c r="OU41" s="58" t="s">
        <v>72</v>
      </c>
    </row>
    <row r="42" ht="16" customHeight="1" spans="1:411" x14ac:dyDescent="0.25">
      <c r="A42" s="43"/>
      <c r="B42" s="44"/>
      <c r="C42" s="59">
        <f>F39*N(D42)</f>
        <v>19296.239999999998</v>
      </c>
      <c r="D42" s="59">
        <f>IF(TRIM(B39)="","No rate",IFERROR(INDEX('Rate Tables'!C$7:C$161,MATCH(B39,'Rate Tables'!A$7:A$161,0)),"No rate"))</f>
        <v>91.02</v>
      </c>
      <c r="E42" s="53" t="s">
        <v>62</v>
      </c>
      <c r="F42" s="47"/>
      <c r="G42" s="47"/>
      <c r="H42" s="47"/>
      <c r="I42" s="47"/>
      <c r="J42" s="48"/>
      <c r="K42" s="60">
        <f>IF(AND(K40=1,K41=8,AND(IFERROR(INDEX('Job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hours")),8,MIN(IF(OR(K40&lt;=0,NOT(OR(AND(IFERROR(INDEX('Job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8"),FALSE))))),8,10),K41)*K40)),MAX(0,40*MAX(1,K40)-(0))))</f>
        <v>8</v>
      </c>
      <c r="L42" s="61">
        <f>IF(AND(L40=1,L41=8,AND(IFERROR(INDEX('Job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hours")),8,MIN(IF(OR(L40&lt;=0,NOT(OR(AND(IFERROR(INDEX('Job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8"),FALSE))))),8,10),L41)*L40)),MAX(0,40*MAX(1,L40)-(K42))))</f>
        <v>8</v>
      </c>
      <c r="M42" s="61">
        <f>IF(AND(M40=1,M41=8,AND(IFERROR(INDEX('Job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hours")),8,MIN(IF(OR(M40&lt;=0,NOT(OR(AND(IFERROR(INDEX('Job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8"),FALSE))))),8,10),M41)*M40)),MAX(0,40*MAX(1,M40)-(K42+L42))))</f>
        <v>8</v>
      </c>
      <c r="N42" s="61">
        <f>IF(AND(N40=1,N41=8,AND(IFERROR(INDEX('Job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hours")),8,MIN(IF(OR(N40&lt;=0,NOT(OR(AND(IFERROR(INDEX('Job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8"),FALSE))))),8,10),N41)*N40)),MAX(0,40*MAX(1,N40)-(K42+L42+M42))))</f>
        <v>8</v>
      </c>
      <c r="O42" s="61">
        <f>IF(AND(O40=1,O41=8,AND(IFERROR(INDEX('Job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hours")),8,MIN(IF(OR(O40&lt;=0,NOT(OR(AND(IFERROR(INDEX('Job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8"),FALSE))))),8,10),O41)*O40)),MAX(0,40*MAX(1,O40)-(K42+L42+M42+N42))))</f>
        <v>8</v>
      </c>
      <c r="P42" s="62">
        <f>IF(AND(P40=0,P41=0,AND(IFERROR(INDEX('Job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hours")),0,MIN(IF(OR(P40&lt;=0,NOT(OR(AND(IFERROR(INDEX('Job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8"),FALSE))))),8,10),P41)*P40)),MAX(0,40*MAX(1,P40)-(0))))</f>
        <v>0</v>
      </c>
      <c r="Q42" s="62">
        <f>IF(AND(Q40=0,Q41=0,AND(IFERROR(INDEX('Job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hours")),0,MIN(IF(OR(Q40&lt;=0,NOT(OR(AND(IFERROR(INDEX('Job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8"),FALSE))))),8,10),Q41)*Q40)),MAX(0,40*MAX(1,Q40)-(P42))))</f>
        <v>0</v>
      </c>
      <c r="R42" s="61">
        <f>IF(AND(R40=1,R41=8,AND(IFERROR(INDEX('Job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hours")),8,MIN(IF(OR(R40&lt;=0,NOT(OR(AND(IFERROR(INDEX('Job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8"),FALSE))))),8,10),R41)*R40)),MAX(0,40*MAX(1,R40)-(0))))</f>
        <v>8</v>
      </c>
      <c r="S42" s="61">
        <f>IF(AND(S40=1,S41=8,AND(IFERROR(INDEX('Job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hours")),8,MIN(IF(OR(S40&lt;=0,NOT(OR(AND(IFERROR(INDEX('Job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8"),FALSE))))),8,10),S41)*S40)),MAX(0,40*MAX(1,S40)-(R42))))</f>
        <v>8</v>
      </c>
      <c r="T42" s="61">
        <f>IF(AND(T40=1,T41=8,AND(IFERROR(INDEX('Job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hours")),8,MIN(IF(OR(T40&lt;=0,NOT(OR(AND(IFERROR(INDEX('Job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8"),FALSE))))),8,10),T41)*T40)),MAX(0,40*MAX(1,T40)-(R42+S42))))</f>
        <v>8</v>
      </c>
      <c r="U42" s="61">
        <f>IF(AND(U40=1,U41=12,AND(IFERROR(INDEX('Job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setup'!I$7:I$11,0)),"")=0))),10,MIN(IF(OR(U40&lt;=0,NOT(OR(AND(IFERROR(INDEX('Job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8"),FALSE))))),8,10),U41)*U40)),MAX(0,40*MAX(1,U40)-(0))))</f>
        <v>10</v>
      </c>
      <c r="V42" s="61">
        <f>IF(AND(V40=1,V41=12,AND(IFERROR(INDEX('Job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setup'!I$7:I$11,0)),"")=0))),10,MIN(IF(OR(V40&lt;=0,NOT(OR(AND(IFERROR(INDEX('Job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8"),FALSE))))),8,10),V41)*V40)),MAX(0,40*MAX(1,V40)-(U42))))</f>
        <v>10</v>
      </c>
      <c r="W42" s="62">
        <f>IF(AND(W40=1,W41=12,AND(IFERROR(INDEX('Job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setup'!I$7:I$11,0)),"")=0))),10,MIN(IF(OR(W40&lt;=0,NOT(OR(AND(IFERROR(INDEX('Job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8"),FALSE))))),8,10),W41)*W40)),MAX(0,40*MAX(1,W40)-(U42+V42))))</f>
        <v>10</v>
      </c>
      <c r="X42" s="62">
        <f>IF(AND(X40=1,X41=12,AND(IFERROR(INDEX('Job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setup'!I$7:I$11,0)),"")=0))),0,MIN(IF(OR(X40&lt;=0,NOT(OR(AND(IFERROR(INDEX('Job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8"),FALSE))))),8,10),X41)*X40)),MAX(0,40*MAX(1,X40)-(U42+V42+W42))))</f>
        <v>0</v>
      </c>
      <c r="Y42" s="61">
        <f>IF(AND(Y40=1,Y41=12,AND(IFERROR(INDEX('Job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setup'!I$7:I$11,0)),"")=0))),10,MIN(IF(OR(Y40&lt;=0,NOT(OR(AND(IFERROR(INDEX('Job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8"),FALSE))))),8,10),Y41)*Y40)),MAX(0,40*MAX(1,Y40)-(0))))</f>
        <v>10</v>
      </c>
      <c r="Z42" s="61">
        <f>IF(AND(Z40=1,Z41=12,AND(IFERROR(INDEX('Job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setup'!I$7:I$11,0)),"")=0))),10,MIN(IF(OR(Z40&lt;=0,NOT(OR(AND(IFERROR(INDEX('Job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8"),FALSE))))),8,10),Z41)*Z40)),MAX(0,40*MAX(1,Z40)-(Y42))))</f>
        <v>10</v>
      </c>
      <c r="AA42" s="61">
        <f>IF(AND(AA40=1,AA41=12,AND(IFERROR(INDEX('Job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setup'!I$7:I$11,0)),"")=0))),10,MIN(IF(OR(AA40&lt;=0,NOT(OR(AND(IFERROR(INDEX('Job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8"),FALSE))))),8,10),AA41)*AA40)),MAX(0,40*MAX(1,AA40)-(Y42+Z42))))</f>
        <v>10</v>
      </c>
      <c r="AB42" s="61">
        <f>IF(AND(AB40=1,AB41=12,AND(IFERROR(INDEX('Job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setup'!I$7:I$11,0)),"")=0))),10,MIN(IF(OR(AB40&lt;=0,NOT(OR(AND(IFERROR(INDEX('Job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8"),FALSE))))),8,10),AB41)*AB40)),MAX(0,40*MAX(1,AB40)-(Y42+Z42+AA42))))</f>
        <v>10</v>
      </c>
      <c r="AC42" s="61">
        <f>IF(AND(AC40=1,AC41=12,AND(IFERROR(INDEX('Job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setup'!I$7:I$11,0)),"")=0))),0,MIN(IF(OR(AC40&lt;=0,NOT(OR(AND(IFERROR(INDEX('Job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8"),FALSE))))),8,10),AC41)*AC40)),MAX(0,40*MAX(1,AC40)-(Y42+Z42+AA42+AB42))))</f>
        <v>0</v>
      </c>
      <c r="AD42" s="62">
        <f>IF(AND(AD40=1,AD41=12,AND(IFERROR(INDEX('Job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setup'!I$7:I$11,0)),"")=0))),0,MIN(IF(OR(AD40&lt;=0,NOT(OR(AND(IFERROR(INDEX('Job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8"),FALSE))))),8,10),AD41)*AD40)),MAX(0,40*MAX(1,AD40)-(Y42+Z42+AA42+AB42+AC42))))</f>
        <v>0</v>
      </c>
      <c r="AE42" s="62">
        <f>IF(AND(AE40=1,AE41=12,AND(IFERROR(INDEX('Job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setup'!I$7:I$11,0)),"")=0))),0,MIN(IF(OR(AE40&lt;=0,NOT(OR(AND(IFERROR(INDEX('Job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8"),FALSE))))),8,10),AE41)*AE40)),MAX(0,40*MAX(1,AE40)-(Y42+Z42+AA42+AB42+AC42+AD42))))</f>
        <v>0</v>
      </c>
      <c r="AF42" s="61">
        <f>IF(AND(AF40=1,AF41=12,AND(IFERROR(INDEX('Job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setup'!I$7:I$11,0)),"")=0))),10,MIN(IF(OR(AF40&lt;=0,NOT(OR(AND(IFERROR(INDEX('Job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8"),FALSE))))),8,10),AF41)*AF40)),MAX(0,40*MAX(1,AF40)-(0))))</f>
        <v>10</v>
      </c>
      <c r="AG42" s="61">
        <f>IF(AND(AG40=1,AG41=12,AND(IFERROR(INDEX('Job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setup'!I$7:I$11,0)),"")=0))),10,MIN(IF(OR(AG40&lt;=0,NOT(OR(AND(IFERROR(INDEX('Job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8"),FALSE))))),8,10),AG41)*AG40)),MAX(0,40*MAX(1,AG40)-(AF42))))</f>
        <v>10</v>
      </c>
      <c r="AH42" s="61">
        <f>IF(AND(AH40=1,AH41=12,AND(IFERROR(INDEX('Job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setup'!I$7:I$11,0)),"")=0))),10,MIN(IF(OR(AH40&lt;=0,NOT(OR(AND(IFERROR(INDEX('Job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8"),FALSE))))),8,10),AH41)*AH40)),MAX(0,40*MAX(1,AH40)-(AF42+AG42))))</f>
        <v>10</v>
      </c>
      <c r="AI42" s="61">
        <f>IF(AND(AI40=1,AI41=8,AND(IFERROR(INDEX('Job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hours")),8,MIN(IF(OR(AI40&lt;=0,NOT(OR(AND(IFERROR(INDEX('Job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8"),FALSE))))),8,10),AI41)*AI40)),MAX(0,40*MAX(1,AI40)-(0))))</f>
        <v>8</v>
      </c>
      <c r="AJ42" s="61">
        <f>IF(AND(AJ40=1,AJ41=8,AND(IFERROR(INDEX('Job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hours")),8,MIN(IF(OR(AJ40&lt;=0,NOT(OR(AND(IFERROR(INDEX('Job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8"),FALSE))))),8,10),AJ41)*AJ40)),MAX(0,40*MAX(1,AJ40)-(AI42))))</f>
        <v>8</v>
      </c>
      <c r="AK42" s="62">
        <f>IF(AND(AK40=0,AK41=0,AND(IFERROR(INDEX('Job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hours")),0,MIN(IF(OR(AK40&lt;=0,NOT(OR(AND(IFERROR(INDEX('Job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8"),FALSE))))),8,10),AK41)*AK40)),MAX(0,40*MAX(1,AK40)-(0))))</f>
        <v>0</v>
      </c>
      <c r="AL42" s="62">
        <f>IF(AND(AL40=0,AL41=0,AND(IFERROR(INDEX('Job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hours")),0,MIN(IF(OR(AL40&lt;=0,NOT(OR(AND(IFERROR(INDEX('Job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8"),FALSE))))),8,10),AL41)*AL40)),MAX(0,40*MAX(1,AL40)-(AK42))))</f>
        <v>0</v>
      </c>
      <c r="AM42" s="61">
        <f>IF(AND(AM40=1,AM41=8,AND(IFERROR(INDEX('Job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hours")),8,MIN(IF(OR(AM40&lt;=0,NOT(OR(AND(IFERROR(INDEX('Job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8"),FALSE))))),8,10),AM41)*AM40)),MAX(0,40*MAX(1,AM40)-(0))))</f>
        <v>8</v>
      </c>
      <c r="AN42" s="61">
        <f>IF(AND(AN40=1,AN41=8,AND(IFERROR(INDEX('Job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hours")),8,MIN(IF(OR(AN40&lt;=0,NOT(OR(AND(IFERROR(INDEX('Job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8"),FALSE))))),8,10),AN41)*AN40)),MAX(0,40*MAX(1,AN40)-(AM42))))</f>
        <v>8</v>
      </c>
      <c r="AO42" s="61">
        <f>IF(AND(AO40=1,AO41=8,AND(IFERROR(INDEX('Job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hours")),8,MIN(IF(OR(AO40&lt;=0,NOT(OR(AND(IFERROR(INDEX('Job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8"),FALSE))))),8,10),AO41)*AO40)),MAX(0,40*MAX(1,AO40)-(AM42+AN42))))</f>
        <v>8</v>
      </c>
      <c r="AP42" s="63">
        <f>IF(AND(AP40=1,AP41=8,AND(IFERROR(INDEX('Job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hours")),8,MIN(IF(OR(AP40&lt;=0,NOT(OR(AND(IFERROR(INDEX('Job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8"),FALSE))))),8,10),AP41)*AP40)),MAX(0,40*MAX(1,AP40)-(AM42+AN42+AO42))))</f>
        <v>8</v>
      </c>
      <c r="OU42" s="28" t="s">
        <v>72</v>
      </c>
    </row>
    <row r="43" ht="16" customHeight="1" spans="1:411" x14ac:dyDescent="0.25">
      <c r="A43" s="43"/>
      <c r="B43" s="44"/>
      <c r="C43" s="64">
        <f>G39*N(D43)</f>
        <v>5376.8</v>
      </c>
      <c r="D43" s="64">
        <f>IF(TRIM(B39)="","No rate",IFERROR(INDEX('Rate Tables'!D$7:D$161,MATCH(B39,'Rate Tables'!A$7:A$161,0)),"No rate"))</f>
        <v>122.2</v>
      </c>
      <c r="E43" s="53" t="s">
        <v>63</v>
      </c>
      <c r="F43" s="47"/>
      <c r="G43" s="47"/>
      <c r="H43" s="47"/>
      <c r="I43" s="47"/>
      <c r="J43" s="48"/>
      <c r="K43" s="60">
        <f>IF(AND(K40=1,K41=8,AND(IFERROR(INDEX('Job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hours")),0,IF(OR(K40&lt;=0,NOT(OR(AND(IFERROR(INDEX('Job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setup'!I$7:I$11,0)),"")&gt;=K$6)))),0,IF(WEEKDAY(K$6,1)=1,0,MAX(0,K41-(IF(IF(AND(IFERROR(INDEX('Job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8"),FALSE))))),8,10)))*K40))+((IF(OR(K40&lt;=0,NOT(OR(AND(IFERROR(INDEX('Job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8"),FALSE))))),8,10),K41)*K40)))-MIN(IF(OR(K40&lt;=0,NOT(OR(AND(IFERROR(INDEX('Job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8"),FALSE))))),8,10),K41)*K40)),MAX(0,40*MAX(1,K40)-(0)))))</f>
        <v>0</v>
      </c>
      <c r="L43" s="61">
        <f>IF(AND(L40=1,L41=8,AND(IFERROR(INDEX('Job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hours")),0,IF(OR(L40&lt;=0,NOT(OR(AND(IFERROR(INDEX('Job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setup'!I$7:I$11,0)),"")&gt;=L$6)))),0,IF(WEEKDAY(L$6,1)=1,0,MAX(0,L41-(IF(IF(AND(IFERROR(INDEX('Job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8"),FALSE))))),8,10)))*L40))+((IF(OR(L40&lt;=0,NOT(OR(AND(IFERROR(INDEX('Job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8"),FALSE))))),8,10),L41)*L40)))-MIN(IF(OR(L40&lt;=0,NOT(OR(AND(IFERROR(INDEX('Job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8"),FALSE))))),8,10),L41)*L40)),MAX(0,40*MAX(1,L40)-(K42)))))</f>
        <v>0</v>
      </c>
      <c r="M43" s="61">
        <f>IF(AND(M40=1,M41=8,AND(IFERROR(INDEX('Job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hours")),0,IF(OR(M40&lt;=0,NOT(OR(AND(IFERROR(INDEX('Job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setup'!I$7:I$11,0)),"")&gt;=M$6)))),0,IF(WEEKDAY(M$6,1)=1,0,MAX(0,M41-(IF(IF(AND(IFERROR(INDEX('Job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8"),FALSE))))),8,10)))*M40))+((IF(OR(M40&lt;=0,NOT(OR(AND(IFERROR(INDEX('Job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8"),FALSE))))),8,10),M41)*M40)))-MIN(IF(OR(M40&lt;=0,NOT(OR(AND(IFERROR(INDEX('Job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8"),FALSE))))),8,10),M41)*M40)),MAX(0,40*MAX(1,M40)-(K42+L42)))))</f>
        <v>0</v>
      </c>
      <c r="N43" s="61">
        <f>IF(AND(N40=1,N41=8,AND(IFERROR(INDEX('Job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hours")),0,IF(OR(N40&lt;=0,NOT(OR(AND(IFERROR(INDEX('Job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setup'!I$7:I$11,0)),"")&gt;=N$6)))),0,IF(WEEKDAY(N$6,1)=1,0,MAX(0,N41-(IF(IF(AND(IFERROR(INDEX('Job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8"),FALSE))))),8,10)))*N40))+((IF(OR(N40&lt;=0,NOT(OR(AND(IFERROR(INDEX('Job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8"),FALSE))))),8,10),N41)*N40)))-MIN(IF(OR(N40&lt;=0,NOT(OR(AND(IFERROR(INDEX('Job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8"),FALSE))))),8,10),N41)*N40)),MAX(0,40*MAX(1,N40)-(K42+L42+M42)))))</f>
        <v>0</v>
      </c>
      <c r="O43" s="61">
        <f>IF(AND(O40=1,O41=8,AND(IFERROR(INDEX('Job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hours")),0,IF(OR(O40&lt;=0,NOT(OR(AND(IFERROR(INDEX('Job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setup'!I$7:I$11,0)),"")&gt;=O$6)))),0,IF(WEEKDAY(O$6,1)=1,0,MAX(0,O41-(IF(IF(AND(IFERROR(INDEX('Job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8"),FALSE))))),8,10)))*O40))+((IF(OR(O40&lt;=0,NOT(OR(AND(IFERROR(INDEX('Job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8"),FALSE))))),8,10),O41)*O40)))-MIN(IF(OR(O40&lt;=0,NOT(OR(AND(IFERROR(INDEX('Job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8"),FALSE))))),8,10),O41)*O40)),MAX(0,40*MAX(1,O40)-(K42+L42+M42+N42)))))</f>
        <v>0</v>
      </c>
      <c r="P43" s="62">
        <f>IF(AND(P40=0,P41=0,AND(IFERROR(INDEX('Job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hours")),0,IF(OR(P40&lt;=0,NOT(OR(AND(IFERROR(INDEX('Job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setup'!I$7:I$11,0)),"")&gt;=P$6)))),0,IF(WEEKDAY(P$6,1)=1,0,MAX(0,P41-(IF(IF(AND(IFERROR(INDEX('Job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8"),FALSE))))),8,10)))*P40))+((IF(OR(P40&lt;=0,NOT(OR(AND(IFERROR(INDEX('Job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8"),FALSE))))),8,10),P41)*P40)))-MIN(IF(OR(P40&lt;=0,NOT(OR(AND(IFERROR(INDEX('Job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8"),FALSE))))),8,10),P41)*P40)),MAX(0,40*MAX(1,P40)-(0)))))</f>
        <v>0</v>
      </c>
      <c r="Q43" s="62">
        <f>IF(AND(Q40=0,Q41=0,AND(IFERROR(INDEX('Job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hours")),0,IF(OR(Q40&lt;=0,NOT(OR(AND(IFERROR(INDEX('Job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setup'!I$7:I$11,0)),"")&gt;=Q$6)))),0,IF(WEEKDAY(Q$6,1)=1,0,MAX(0,Q41-(IF(IF(AND(IFERROR(INDEX('Job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8"),FALSE))))),8,10)))*Q40))+((IF(OR(Q40&lt;=0,NOT(OR(AND(IFERROR(INDEX('Job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8"),FALSE))))),8,10),Q41)*Q40)))-MIN(IF(OR(Q40&lt;=0,NOT(OR(AND(IFERROR(INDEX('Job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8"),FALSE))))),8,10),Q41)*Q40)),MAX(0,40*MAX(1,Q40)-(P42)))))</f>
        <v>0</v>
      </c>
      <c r="R43" s="61">
        <f>IF(AND(R40=1,R41=8,AND(IFERROR(INDEX('Job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hours")),0,IF(OR(R40&lt;=0,NOT(OR(AND(IFERROR(INDEX('Job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setup'!I$7:I$11,0)),"")&gt;=R$6)))),0,IF(WEEKDAY(R$6,1)=1,0,MAX(0,R41-(IF(IF(AND(IFERROR(INDEX('Job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8"),FALSE))))),8,10)))*R40))+((IF(OR(R40&lt;=0,NOT(OR(AND(IFERROR(INDEX('Job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8"),FALSE))))),8,10),R41)*R40)))-MIN(IF(OR(R40&lt;=0,NOT(OR(AND(IFERROR(INDEX('Job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8"),FALSE))))),8,10),R41)*R40)),MAX(0,40*MAX(1,R40)-(0)))))</f>
        <v>0</v>
      </c>
      <c r="S43" s="61">
        <f>IF(AND(S40=1,S41=8,AND(IFERROR(INDEX('Job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hours")),0,IF(OR(S40&lt;=0,NOT(OR(AND(IFERROR(INDEX('Job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setup'!I$7:I$11,0)),"")&gt;=S$6)))),0,IF(WEEKDAY(S$6,1)=1,0,MAX(0,S41-(IF(IF(AND(IFERROR(INDEX('Job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8"),FALSE))))),8,10)))*S40))+((IF(OR(S40&lt;=0,NOT(OR(AND(IFERROR(INDEX('Job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8"),FALSE))))),8,10),S41)*S40)))-MIN(IF(OR(S40&lt;=0,NOT(OR(AND(IFERROR(INDEX('Job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8"),FALSE))))),8,10),S41)*S40)),MAX(0,40*MAX(1,S40)-(R42)))))</f>
        <v>0</v>
      </c>
      <c r="T43" s="61">
        <f>IF(AND(T40=1,T41=8,AND(IFERROR(INDEX('Job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hours")),0,IF(OR(T40&lt;=0,NOT(OR(AND(IFERROR(INDEX('Job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setup'!I$7:I$11,0)),"")&gt;=T$6)))),0,IF(WEEKDAY(T$6,1)=1,0,MAX(0,T41-(IF(IF(AND(IFERROR(INDEX('Job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8"),FALSE))))),8,10)))*T40))+((IF(OR(T40&lt;=0,NOT(OR(AND(IFERROR(INDEX('Job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8"),FALSE))))),8,10),T41)*T40)))-MIN(IF(OR(T40&lt;=0,NOT(OR(AND(IFERROR(INDEX('Job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8"),FALSE))))),8,10),T41)*T40)),MAX(0,40*MAX(1,T40)-(R42+S42)))))</f>
        <v>0</v>
      </c>
      <c r="U43" s="61">
        <f>IF(AND(U40=1,U41=12,AND(IFERROR(INDEX('Job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setup'!I$7:I$11,0)),"")=0))),2,IF(OR(U40&lt;=0,NOT(OR(AND(IFERROR(INDEX('Job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setup'!I$7:I$11,0)),"")&gt;=U$6)))),0,IF(WEEKDAY(U$6,1)=1,0,MAX(0,U41-(IF(IF(AND(IFERROR(INDEX('Job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8"),FALSE))))),8,10)))*U40))+((IF(OR(U40&lt;=0,NOT(OR(AND(IFERROR(INDEX('Job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8"),FALSE))))),8,10),U41)*U40)))-MIN(IF(OR(U40&lt;=0,NOT(OR(AND(IFERROR(INDEX('Job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8"),FALSE))))),8,10),U41)*U40)),MAX(0,40*MAX(1,U40)-(0)))))</f>
        <v>2</v>
      </c>
      <c r="V43" s="61">
        <f>IF(AND(V40=1,V41=12,AND(IFERROR(INDEX('Job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setup'!I$7:I$11,0)),"")=0))),2,IF(OR(V40&lt;=0,NOT(OR(AND(IFERROR(INDEX('Job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setup'!I$7:I$11,0)),"")&gt;=V$6)))),0,IF(WEEKDAY(V$6,1)=1,0,MAX(0,V41-(IF(IF(AND(IFERROR(INDEX('Job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8"),FALSE))))),8,10)))*V40))+((IF(OR(V40&lt;=0,NOT(OR(AND(IFERROR(INDEX('Job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8"),FALSE))))),8,10),V41)*V40)))-MIN(IF(OR(V40&lt;=0,NOT(OR(AND(IFERROR(INDEX('Job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8"),FALSE))))),8,10),V41)*V40)),MAX(0,40*MAX(1,V40)-(U42)))))</f>
        <v>2</v>
      </c>
      <c r="W43" s="62">
        <f>IF(AND(W40=1,W41=12,AND(IFERROR(INDEX('Job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setup'!I$7:I$11,0)),"")=0))),2,IF(OR(W40&lt;=0,NOT(OR(AND(IFERROR(INDEX('Job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setup'!I$7:I$11,0)),"")&gt;=W$6)))),0,IF(WEEKDAY(W$6,1)=1,0,MAX(0,W41-(IF(IF(AND(IFERROR(INDEX('Job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8"),FALSE))))),8,10)))*W40))+((IF(OR(W40&lt;=0,NOT(OR(AND(IFERROR(INDEX('Job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8"),FALSE))))),8,10),W41)*W40)))-MIN(IF(OR(W40&lt;=0,NOT(OR(AND(IFERROR(INDEX('Job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8"),FALSE))))),8,10),W41)*W40)),MAX(0,40*MAX(1,W40)-(U42+V42)))))</f>
        <v>2</v>
      </c>
      <c r="X43" s="62">
        <f>IF(AND(X40=1,X41=12,AND(IFERROR(INDEX('Job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setup'!I$7:I$11,0)),"")=0))),0,IF(OR(X40&lt;=0,NOT(OR(AND(IFERROR(INDEX('Job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setup'!I$7:I$11,0)),"")&gt;=X$6)))),0,IF(WEEKDAY(X$6,1)=1,0,MAX(0,X41-(IF(IF(AND(IFERROR(INDEX('Job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8"),FALSE))))),8,10)))*X40))+((IF(OR(X40&lt;=0,NOT(OR(AND(IFERROR(INDEX('Job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8"),FALSE))))),8,10),X41)*X40)))-MIN(IF(OR(X40&lt;=0,NOT(OR(AND(IFERROR(INDEX('Job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8"),FALSE))))),8,10),X41)*X40)),MAX(0,40*MAX(1,X40)-(U42+V42+W42)))))</f>
        <v>0</v>
      </c>
      <c r="Y43" s="61">
        <f>IF(AND(Y40=1,Y41=12,AND(IFERROR(INDEX('Job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setup'!I$7:I$11,0)),"")=0))),2,IF(OR(Y40&lt;=0,NOT(OR(AND(IFERROR(INDEX('Job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setup'!I$7:I$11,0)),"")&gt;=Y$6)))),0,IF(WEEKDAY(Y$6,1)=1,0,MAX(0,Y41-(IF(IF(AND(IFERROR(INDEX('Job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8"),FALSE))))),8,10)))*Y40))+((IF(OR(Y40&lt;=0,NOT(OR(AND(IFERROR(INDEX('Job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8"),FALSE))))),8,10),Y41)*Y40)))-MIN(IF(OR(Y40&lt;=0,NOT(OR(AND(IFERROR(INDEX('Job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8"),FALSE))))),8,10),Y41)*Y40)),MAX(0,40*MAX(1,Y40)-(0)))))</f>
        <v>2</v>
      </c>
      <c r="Z43" s="61">
        <f>IF(AND(Z40=1,Z41=12,AND(IFERROR(INDEX('Job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setup'!I$7:I$11,0)),"")=0))),2,IF(OR(Z40&lt;=0,NOT(OR(AND(IFERROR(INDEX('Job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setup'!I$7:I$11,0)),"")&gt;=Z$6)))),0,IF(WEEKDAY(Z$6,1)=1,0,MAX(0,Z41-(IF(IF(AND(IFERROR(INDEX('Job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8"),FALSE))))),8,10)))*Z40))+((IF(OR(Z40&lt;=0,NOT(OR(AND(IFERROR(INDEX('Job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8"),FALSE))))),8,10),Z41)*Z40)))-MIN(IF(OR(Z40&lt;=0,NOT(OR(AND(IFERROR(INDEX('Job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8"),FALSE))))),8,10),Z41)*Z40)),MAX(0,40*MAX(1,Z40)-(Y42)))))</f>
        <v>2</v>
      </c>
      <c r="AA43" s="61">
        <f>IF(AND(AA40=1,AA41=12,AND(IFERROR(INDEX('Job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setup'!I$7:I$11,0)),"")=0))),2,IF(OR(AA40&lt;=0,NOT(OR(AND(IFERROR(INDEX('Job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setup'!I$7:I$11,0)),"")&gt;=AA$6)))),0,IF(WEEKDAY(AA$6,1)=1,0,MAX(0,AA41-(IF(IF(AND(IFERROR(INDEX('Job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8"),FALSE))))),8,10)))*AA40))+((IF(OR(AA40&lt;=0,NOT(OR(AND(IFERROR(INDEX('Job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8"),FALSE))))),8,10),AA41)*AA40)))-MIN(IF(OR(AA40&lt;=0,NOT(OR(AND(IFERROR(INDEX('Job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8"),FALSE))))),8,10),AA41)*AA40)),MAX(0,40*MAX(1,AA40)-(Y42+Z42)))))</f>
        <v>2</v>
      </c>
      <c r="AB43" s="61">
        <f>IF(AND(AB40=1,AB41=12,AND(IFERROR(INDEX('Job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setup'!I$7:I$11,0)),"")=0))),2,IF(OR(AB40&lt;=0,NOT(OR(AND(IFERROR(INDEX('Job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setup'!I$7:I$11,0)),"")&gt;=AB$6)))),0,IF(WEEKDAY(AB$6,1)=1,0,MAX(0,AB41-(IF(IF(AND(IFERROR(INDEX('Job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8"),FALSE))))),8,10)))*AB40))+((IF(OR(AB40&lt;=0,NOT(OR(AND(IFERROR(INDEX('Job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8"),FALSE))))),8,10),AB41)*AB40)))-MIN(IF(OR(AB40&lt;=0,NOT(OR(AND(IFERROR(INDEX('Job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8"),FALSE))))),8,10),AB41)*AB40)),MAX(0,40*MAX(1,AB40)-(Y42+Z42+AA42)))))</f>
        <v>2</v>
      </c>
      <c r="AC43" s="61">
        <f>IF(AND(AC40=1,AC41=12,AND(IFERROR(INDEX('Job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setup'!I$7:I$11,0)),"")=0))),12,IF(OR(AC40&lt;=0,NOT(OR(AND(IFERROR(INDEX('Job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setup'!I$7:I$11,0)),"")&gt;=AC$6)))),0,IF(WEEKDAY(AC$6,1)=1,0,MAX(0,AC41-(IF(IF(AND(IFERROR(INDEX('Job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8"),FALSE))))),8,10)))*AC40))+((IF(OR(AC40&lt;=0,NOT(OR(AND(IFERROR(INDEX('Job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8"),FALSE))))),8,10),AC41)*AC40)))-MIN(IF(OR(AC40&lt;=0,NOT(OR(AND(IFERROR(INDEX('Job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8"),FALSE))))),8,10),AC41)*AC40)),MAX(0,40*MAX(1,AC40)-(Y42+Z42+AA42+AB42)))))</f>
        <v>12</v>
      </c>
      <c r="AD43" s="62">
        <f>IF(AND(AD40=1,AD41=12,AND(IFERROR(INDEX('Job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setup'!I$7:I$11,0)),"")=0))),12,IF(OR(AD40&lt;=0,NOT(OR(AND(IFERROR(INDEX('Job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setup'!I$7:I$11,0)),"")&gt;=AD$6)))),0,IF(WEEKDAY(AD$6,1)=1,0,MAX(0,AD41-(IF(IF(AND(IFERROR(INDEX('Job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8"),FALSE))))),8,10)))*AD40))+((IF(OR(AD40&lt;=0,NOT(OR(AND(IFERROR(INDEX('Job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8"),FALSE))))),8,10),AD41)*AD40)))-MIN(IF(OR(AD40&lt;=0,NOT(OR(AND(IFERROR(INDEX('Job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8"),FALSE))))),8,10),AD41)*AD40)),MAX(0,40*MAX(1,AD40)-(Y42+Z42+AA42+AB42+AC42)))))</f>
        <v>12</v>
      </c>
      <c r="AE43" s="62">
        <f>IF(AND(AE40=1,AE41=12,AND(IFERROR(INDEX('Job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setup'!I$7:I$11,0)),"")=0))),0,IF(OR(AE40&lt;=0,NOT(OR(AND(IFERROR(INDEX('Job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setup'!I$7:I$11,0)),"")&gt;=AE$6)))),0,IF(WEEKDAY(AE$6,1)=1,0,MAX(0,AE41-(IF(IF(AND(IFERROR(INDEX('Job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8"),FALSE))))),8,10)))*AE40))+((IF(OR(AE40&lt;=0,NOT(OR(AND(IFERROR(INDEX('Job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8"),FALSE))))),8,10),AE41)*AE40)))-MIN(IF(OR(AE40&lt;=0,NOT(OR(AND(IFERROR(INDEX('Job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8"),FALSE))))),8,10),AE41)*AE40)),MAX(0,40*MAX(1,AE40)-(Y42+Z42+AA42+AB42+AC42+AD42)))))</f>
        <v>0</v>
      </c>
      <c r="AF43" s="61">
        <f>IF(AND(AF40=1,AF41=12,AND(IFERROR(INDEX('Job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setup'!I$7:I$11,0)),"")=0))),2,IF(OR(AF40&lt;=0,NOT(OR(AND(IFERROR(INDEX('Job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setup'!I$7:I$11,0)),"")&gt;=AF$6)))),0,IF(WEEKDAY(AF$6,1)=1,0,MAX(0,AF41-(IF(IF(AND(IFERROR(INDEX('Job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8"),FALSE))))),8,10)))*AF40))+((IF(OR(AF40&lt;=0,NOT(OR(AND(IFERROR(INDEX('Job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8"),FALSE))))),8,10),AF41)*AF40)))-MIN(IF(OR(AF40&lt;=0,NOT(OR(AND(IFERROR(INDEX('Job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8"),FALSE))))),8,10),AF41)*AF40)),MAX(0,40*MAX(1,AF40)-(0)))))</f>
        <v>2</v>
      </c>
      <c r="AG43" s="61">
        <f>IF(AND(AG40=1,AG41=12,AND(IFERROR(INDEX('Job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setup'!I$7:I$11,0)),"")=0))),2,IF(OR(AG40&lt;=0,NOT(OR(AND(IFERROR(INDEX('Job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setup'!I$7:I$11,0)),"")&gt;=AG$6)))),0,IF(WEEKDAY(AG$6,1)=1,0,MAX(0,AG41-(IF(IF(AND(IFERROR(INDEX('Job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8"),FALSE))))),8,10)))*AG40))+((IF(OR(AG40&lt;=0,NOT(OR(AND(IFERROR(INDEX('Job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8"),FALSE))))),8,10),AG41)*AG40)))-MIN(IF(OR(AG40&lt;=0,NOT(OR(AND(IFERROR(INDEX('Job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8"),FALSE))))),8,10),AG41)*AG40)),MAX(0,40*MAX(1,AG40)-(AF42)))))</f>
        <v>2</v>
      </c>
      <c r="AH43" s="61">
        <f>IF(AND(AH40=1,AH41=12,AND(IFERROR(INDEX('Job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setup'!I$7:I$11,0)),"")=0))),2,IF(OR(AH40&lt;=0,NOT(OR(AND(IFERROR(INDEX('Job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setup'!I$7:I$11,0)),"")&gt;=AH$6)))),0,IF(WEEKDAY(AH$6,1)=1,0,MAX(0,AH41-(IF(IF(AND(IFERROR(INDEX('Job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8"),FALSE))))),8,10)))*AH40))+((IF(OR(AH40&lt;=0,NOT(OR(AND(IFERROR(INDEX('Job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8"),FALSE))))),8,10),AH41)*AH40)))-MIN(IF(OR(AH40&lt;=0,NOT(OR(AND(IFERROR(INDEX('Job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8"),FALSE))))),8,10),AH41)*AH40)),MAX(0,40*MAX(1,AH40)-(AF42+AG42)))))</f>
        <v>2</v>
      </c>
      <c r="AI43" s="61">
        <f>IF(AND(AI40=1,AI41=8,AND(IFERROR(INDEX('Job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hours")),0,IF(OR(AI40&lt;=0,NOT(OR(AND(IFERROR(INDEX('Job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setup'!I$7:I$11,0)),"")&gt;=AI$6)))),0,IF(WEEKDAY(AI$6,1)=1,0,MAX(0,AI41-(IF(IF(AND(IFERROR(INDEX('Job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8"),FALSE))))),8,10)))*AI40))+((IF(OR(AI40&lt;=0,NOT(OR(AND(IFERROR(INDEX('Job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8"),FALSE))))),8,10),AI41)*AI40)))-MIN(IF(OR(AI40&lt;=0,NOT(OR(AND(IFERROR(INDEX('Job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8"),FALSE))))),8,10),AI41)*AI40)),MAX(0,40*MAX(1,AI40)-(0)))))</f>
        <v>0</v>
      </c>
      <c r="AJ43" s="61">
        <f>IF(AND(AJ40=1,AJ41=8,AND(IFERROR(INDEX('Job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hours")),0,IF(OR(AJ40&lt;=0,NOT(OR(AND(IFERROR(INDEX('Job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setup'!I$7:I$11,0)),"")&gt;=AJ$6)))),0,IF(WEEKDAY(AJ$6,1)=1,0,MAX(0,AJ41-(IF(IF(AND(IFERROR(INDEX('Job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8"),FALSE))))),8,10)))*AJ40))+((IF(OR(AJ40&lt;=0,NOT(OR(AND(IFERROR(INDEX('Job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8"),FALSE))))),8,10),AJ41)*AJ40)))-MIN(IF(OR(AJ40&lt;=0,NOT(OR(AND(IFERROR(INDEX('Job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8"),FALSE))))),8,10),AJ41)*AJ40)),MAX(0,40*MAX(1,AJ40)-(AI42)))))</f>
        <v>0</v>
      </c>
      <c r="AK43" s="62">
        <f>IF(AND(AK40=0,AK41=0,AND(IFERROR(INDEX('Job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hours")),0,IF(OR(AK40&lt;=0,NOT(OR(AND(IFERROR(INDEX('Job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setup'!I$7:I$11,0)),"")&gt;=AK$6)))),0,IF(WEEKDAY(AK$6,1)=1,0,MAX(0,AK41-(IF(IF(AND(IFERROR(INDEX('Job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8"),FALSE))))),8,10)))*AK40))+((IF(OR(AK40&lt;=0,NOT(OR(AND(IFERROR(INDEX('Job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8"),FALSE))))),8,10),AK41)*AK40)))-MIN(IF(OR(AK40&lt;=0,NOT(OR(AND(IFERROR(INDEX('Job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8"),FALSE))))),8,10),AK41)*AK40)),MAX(0,40*MAX(1,AK40)-(0)))))</f>
        <v>0</v>
      </c>
      <c r="AL43" s="62">
        <f>IF(AND(AL40=0,AL41=0,AND(IFERROR(INDEX('Job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hours")),0,IF(OR(AL40&lt;=0,NOT(OR(AND(IFERROR(INDEX('Job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setup'!I$7:I$11,0)),"")&gt;=AL$6)))),0,IF(WEEKDAY(AL$6,1)=1,0,MAX(0,AL41-(IF(IF(AND(IFERROR(INDEX('Job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8"),FALSE))))),8,10)))*AL40))+((IF(OR(AL40&lt;=0,NOT(OR(AND(IFERROR(INDEX('Job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8"),FALSE))))),8,10),AL41)*AL40)))-MIN(IF(OR(AL40&lt;=0,NOT(OR(AND(IFERROR(INDEX('Job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8"),FALSE))))),8,10),AL41)*AL40)),MAX(0,40*MAX(1,AL40)-(AK42)))))</f>
        <v>0</v>
      </c>
      <c r="AM43" s="61">
        <f>IF(AND(AM40=1,AM41=8,AND(IFERROR(INDEX('Job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hours")),0,IF(OR(AM40&lt;=0,NOT(OR(AND(IFERROR(INDEX('Job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setup'!I$7:I$11,0)),"")&gt;=AM$6)))),0,IF(WEEKDAY(AM$6,1)=1,0,MAX(0,AM41-(IF(IF(AND(IFERROR(INDEX('Job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8"),FALSE))))),8,10)))*AM40))+((IF(OR(AM40&lt;=0,NOT(OR(AND(IFERROR(INDEX('Job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8"),FALSE))))),8,10),AM41)*AM40)))-MIN(IF(OR(AM40&lt;=0,NOT(OR(AND(IFERROR(INDEX('Job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8"),FALSE))))),8,10),AM41)*AM40)),MAX(0,40*MAX(1,AM40)-(0)))))</f>
        <v>0</v>
      </c>
      <c r="AN43" s="61">
        <f>IF(AND(AN40=1,AN41=8,AND(IFERROR(INDEX('Job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hours")),0,IF(OR(AN40&lt;=0,NOT(OR(AND(IFERROR(INDEX('Job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setup'!I$7:I$11,0)),"")&gt;=AN$6)))),0,IF(WEEKDAY(AN$6,1)=1,0,MAX(0,AN41-(IF(IF(AND(IFERROR(INDEX('Job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8"),FALSE))))),8,10)))*AN40))+((IF(OR(AN40&lt;=0,NOT(OR(AND(IFERROR(INDEX('Job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8"),FALSE))))),8,10),AN41)*AN40)))-MIN(IF(OR(AN40&lt;=0,NOT(OR(AND(IFERROR(INDEX('Job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8"),FALSE))))),8,10),AN41)*AN40)),MAX(0,40*MAX(1,AN40)-(AM42)))))</f>
        <v>0</v>
      </c>
      <c r="AO43" s="61">
        <f>IF(AND(AO40=1,AO41=8,AND(IFERROR(INDEX('Job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hours")),0,IF(OR(AO40&lt;=0,NOT(OR(AND(IFERROR(INDEX('Job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setup'!I$7:I$11,0)),"")&gt;=AO$6)))),0,IF(WEEKDAY(AO$6,1)=1,0,MAX(0,AO41-(IF(IF(AND(IFERROR(INDEX('Job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8"),FALSE))))),8,10)))*AO40))+((IF(OR(AO40&lt;=0,NOT(OR(AND(IFERROR(INDEX('Job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8"),FALSE))))),8,10),AO41)*AO40)))-MIN(IF(OR(AO40&lt;=0,NOT(OR(AND(IFERROR(INDEX('Job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8"),FALSE))))),8,10),AO41)*AO40)),MAX(0,40*MAX(1,AO40)-(AM42+AN42)))))</f>
        <v>0</v>
      </c>
      <c r="AP43" s="63">
        <f>IF(AND(AP40=1,AP41=8,AND(IFERROR(INDEX('Job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hours")),0,IF(OR(AP40&lt;=0,NOT(OR(AND(IFERROR(INDEX('Job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setup'!I$7:I$11,0)),"")&gt;=AP$6)))),0,IF(WEEKDAY(AP$6,1)=1,0,MAX(0,AP41-(IF(IF(AND(IFERROR(INDEX('Job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8"),FALSE))))),8,10)))*AP40))+((IF(OR(AP40&lt;=0,NOT(OR(AND(IFERROR(INDEX('Job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8"),FALSE))))),8,10),AP41)*AP40)))-MIN(IF(OR(AP40&lt;=0,NOT(OR(AND(IFERROR(INDEX('Job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8"),FALSE))))),8,10),AP41)*AP40)),MAX(0,40*MAX(1,AP40)-(AM42+AN42+AO42)))))</f>
        <v>0</v>
      </c>
      <c r="OU43" s="28" t="s">
        <v>72</v>
      </c>
    </row>
    <row r="44" ht="16" customHeight="1" spans="1:411" x14ac:dyDescent="0.25">
      <c r="A44" s="43"/>
      <c r="B44" s="44"/>
      <c r="C44" s="59">
        <f>H39*N(D44)</f>
        <v>3681.3599999999997</v>
      </c>
      <c r="D44" s="59">
        <f>IF(TRIM(B39)="","No rate",IFERROR(INDEX('Rate Tables'!E$7:E$161,MATCH(B39,'Rate Tables'!A$7:A$161,0)),"No rate"))</f>
        <v>153.39</v>
      </c>
      <c r="E44" s="53" t="s">
        <v>64</v>
      </c>
      <c r="F44" s="47"/>
      <c r="G44" s="47"/>
      <c r="H44" s="47"/>
      <c r="I44" s="47"/>
      <c r="J44" s="48"/>
      <c r="K44" s="60">
        <f>IF(AND(K40=1,K41=8,AND(IFERROR(INDEX('Job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hours")),0,IF(OR(K40&lt;=0,NOT(OR(AND(IFERROR(INDEX('Job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setup'!I$7:I$11,0)),"")&gt;=K$6)))),0,IF(WEEKDAY(K$6,1)=1,K40*K41,0)))</f>
        <v>0</v>
      </c>
      <c r="L44" s="61">
        <f>IF(AND(L40=1,L41=8,AND(IFERROR(INDEX('Job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hours")),0,IF(OR(L40&lt;=0,NOT(OR(AND(IFERROR(INDEX('Job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setup'!I$7:I$11,0)),"")&gt;=L$6)))),0,IF(WEEKDAY(L$6,1)=1,L40*L41,0)))</f>
        <v>0</v>
      </c>
      <c r="M44" s="61">
        <f>IF(AND(M40=1,M41=8,AND(IFERROR(INDEX('Job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hours")),0,IF(OR(M40&lt;=0,NOT(OR(AND(IFERROR(INDEX('Job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setup'!I$7:I$11,0)),"")&gt;=M$6)))),0,IF(WEEKDAY(M$6,1)=1,M40*M41,0)))</f>
        <v>0</v>
      </c>
      <c r="N44" s="61">
        <f>IF(AND(N40=1,N41=8,AND(IFERROR(INDEX('Job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hours")),0,IF(OR(N40&lt;=0,NOT(OR(AND(IFERROR(INDEX('Job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setup'!I$7:I$11,0)),"")&gt;=N$6)))),0,IF(WEEKDAY(N$6,1)=1,N40*N41,0)))</f>
        <v>0</v>
      </c>
      <c r="O44" s="61">
        <f>IF(AND(O40=1,O41=8,AND(IFERROR(INDEX('Job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hours")),0,IF(OR(O40&lt;=0,NOT(OR(AND(IFERROR(INDEX('Job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setup'!I$7:I$11,0)),"")&gt;=O$6)))),0,IF(WEEKDAY(O$6,1)=1,O40*O41,0)))</f>
        <v>0</v>
      </c>
      <c r="P44" s="62">
        <f>IF(AND(P40=0,P41=0,AND(IFERROR(INDEX('Job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hours")),0,IF(OR(P40&lt;=0,NOT(OR(AND(IFERROR(INDEX('Job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setup'!I$7:I$11,0)),"")&gt;=P$6)))),0,IF(WEEKDAY(P$6,1)=1,P40*P41,0)))</f>
        <v>0</v>
      </c>
      <c r="Q44" s="62">
        <f>IF(AND(Q40=0,Q41=0,AND(IFERROR(INDEX('Job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hours")),0,IF(OR(Q40&lt;=0,NOT(OR(AND(IFERROR(INDEX('Job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setup'!I$7:I$11,0)),"")&gt;=Q$6)))),0,IF(WEEKDAY(Q$6,1)=1,Q40*Q41,0)))</f>
        <v>0</v>
      </c>
      <c r="R44" s="61">
        <f>IF(AND(R40=1,R41=8,AND(IFERROR(INDEX('Job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hours")),0,IF(OR(R40&lt;=0,NOT(OR(AND(IFERROR(INDEX('Job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setup'!I$7:I$11,0)),"")&gt;=R$6)))),0,IF(WEEKDAY(R$6,1)=1,R40*R41,0)))</f>
        <v>0</v>
      </c>
      <c r="S44" s="61">
        <f>IF(AND(S40=1,S41=8,AND(IFERROR(INDEX('Job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hours")),0,IF(OR(S40&lt;=0,NOT(OR(AND(IFERROR(INDEX('Job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setup'!I$7:I$11,0)),"")&gt;=S$6)))),0,IF(WEEKDAY(S$6,1)=1,S40*S41,0)))</f>
        <v>0</v>
      </c>
      <c r="T44" s="61">
        <f>IF(AND(T40=1,T41=8,AND(IFERROR(INDEX('Job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hours")),0,IF(OR(T40&lt;=0,NOT(OR(AND(IFERROR(INDEX('Job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setup'!I$7:I$11,0)),"")&gt;=T$6)))),0,IF(WEEKDAY(T$6,1)=1,T40*T41,0)))</f>
        <v>0</v>
      </c>
      <c r="U44" s="61">
        <f>IF(AND(U40=1,U41=12,AND(IFERROR(INDEX('Job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setup'!I$7:I$11,0)),"")=0))),0,IF(OR(U40&lt;=0,NOT(OR(AND(IFERROR(INDEX('Job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setup'!I$7:I$11,0)),"")&gt;=U$6)))),0,IF(WEEKDAY(U$6,1)=1,U40*U41,0)))</f>
        <v>0</v>
      </c>
      <c r="V44" s="61">
        <f>IF(AND(V40=1,V41=12,AND(IFERROR(INDEX('Job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setup'!I$7:I$11,0)),"")=0))),0,IF(OR(V40&lt;=0,NOT(OR(AND(IFERROR(INDEX('Job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setup'!I$7:I$11,0)),"")&gt;=V$6)))),0,IF(WEEKDAY(V$6,1)=1,V40*V41,0)))</f>
        <v>0</v>
      </c>
      <c r="W44" s="62">
        <f>IF(AND(W40=1,W41=12,AND(IFERROR(INDEX('Job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setup'!I$7:I$11,0)),"")=0))),0,IF(OR(W40&lt;=0,NOT(OR(AND(IFERROR(INDEX('Job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setup'!I$7:I$11,0)),"")&gt;=W$6)))),0,IF(WEEKDAY(W$6,1)=1,W40*W41,0)))</f>
        <v>0</v>
      </c>
      <c r="X44" s="62">
        <f>IF(AND(X40=1,X41=12,AND(IFERROR(INDEX('Job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setup'!I$7:I$11,0)),"")=0))),12,IF(OR(X40&lt;=0,NOT(OR(AND(IFERROR(INDEX('Job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setup'!I$7:I$11,0)),"")&gt;=X$6)))),0,IF(WEEKDAY(X$6,1)=1,X40*X41,0)))</f>
        <v>12</v>
      </c>
      <c r="Y44" s="61">
        <f>IF(AND(Y40=1,Y41=12,AND(IFERROR(INDEX('Job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setup'!I$7:I$11,0)),"")=0))),0,IF(OR(Y40&lt;=0,NOT(OR(AND(IFERROR(INDEX('Job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setup'!I$7:I$11,0)),"")&gt;=Y$6)))),0,IF(WEEKDAY(Y$6,1)=1,Y40*Y41,0)))</f>
        <v>0</v>
      </c>
      <c r="Z44" s="61">
        <f>IF(AND(Z40=1,Z41=12,AND(IFERROR(INDEX('Job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setup'!I$7:I$11,0)),"")=0))),0,IF(OR(Z40&lt;=0,NOT(OR(AND(IFERROR(INDEX('Job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setup'!I$7:I$11,0)),"")&gt;=Z$6)))),0,IF(WEEKDAY(Z$6,1)=1,Z40*Z41,0)))</f>
        <v>0</v>
      </c>
      <c r="AA44" s="61">
        <f>IF(AND(AA40=1,AA41=12,AND(IFERROR(INDEX('Job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setup'!I$7:I$11,0)),"")=0))),0,IF(OR(AA40&lt;=0,NOT(OR(AND(IFERROR(INDEX('Job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setup'!I$7:I$11,0)),"")&gt;=AA$6)))),0,IF(WEEKDAY(AA$6,1)=1,AA40*AA41,0)))</f>
        <v>0</v>
      </c>
      <c r="AB44" s="61">
        <f>IF(AND(AB40=1,AB41=12,AND(IFERROR(INDEX('Job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setup'!I$7:I$11,0)),"")=0))),0,IF(OR(AB40&lt;=0,NOT(OR(AND(IFERROR(INDEX('Job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setup'!I$7:I$11,0)),"")&gt;=AB$6)))),0,IF(WEEKDAY(AB$6,1)=1,AB40*AB41,0)))</f>
        <v>0</v>
      </c>
      <c r="AC44" s="61">
        <f>IF(AND(AC40=1,AC41=12,AND(IFERROR(INDEX('Job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setup'!I$7:I$11,0)),"")=0))),0,IF(OR(AC40&lt;=0,NOT(OR(AND(IFERROR(INDEX('Job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setup'!I$7:I$11,0)),"")&gt;=AC$6)))),0,IF(WEEKDAY(AC$6,1)=1,AC40*AC41,0)))</f>
        <v>0</v>
      </c>
      <c r="AD44" s="62">
        <f>IF(AND(AD40=1,AD41=12,AND(IFERROR(INDEX('Job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setup'!I$7:I$11,0)),"")=0))),0,IF(OR(AD40&lt;=0,NOT(OR(AND(IFERROR(INDEX('Job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setup'!I$7:I$11,0)),"")&gt;=AD$6)))),0,IF(WEEKDAY(AD$6,1)=1,AD40*AD41,0)))</f>
        <v>0</v>
      </c>
      <c r="AE44" s="62">
        <f>IF(AND(AE40=1,AE41=12,AND(IFERROR(INDEX('Job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setup'!I$7:I$11,0)),"")=0))),12,IF(OR(AE40&lt;=0,NOT(OR(AND(IFERROR(INDEX('Job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setup'!I$7:I$11,0)),"")&gt;=AE$6)))),0,IF(WEEKDAY(AE$6,1)=1,AE40*AE41,0)))</f>
        <v>12</v>
      </c>
      <c r="AF44" s="61">
        <f>IF(AND(AF40=1,AF41=12,AND(IFERROR(INDEX('Job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setup'!I$7:I$11,0)),"")=0))),0,IF(OR(AF40&lt;=0,NOT(OR(AND(IFERROR(INDEX('Job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setup'!I$7:I$11,0)),"")&gt;=AF$6)))),0,IF(WEEKDAY(AF$6,1)=1,AF40*AF41,0)))</f>
        <v>0</v>
      </c>
      <c r="AG44" s="61">
        <f>IF(AND(AG40=1,AG41=12,AND(IFERROR(INDEX('Job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setup'!I$7:I$11,0)),"")=0))),0,IF(OR(AG40&lt;=0,NOT(OR(AND(IFERROR(INDEX('Job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setup'!I$7:I$11,0)),"")&gt;=AG$6)))),0,IF(WEEKDAY(AG$6,1)=1,AG40*AG41,0)))</f>
        <v>0</v>
      </c>
      <c r="AH44" s="61">
        <f>IF(AND(AH40=1,AH41=12,AND(IFERROR(INDEX('Job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setup'!I$7:I$11,0)),"")=0))),0,IF(OR(AH40&lt;=0,NOT(OR(AND(IFERROR(INDEX('Job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setup'!I$7:I$11,0)),"")&gt;=AH$6)))),0,IF(WEEKDAY(AH$6,1)=1,AH40*AH41,0)))</f>
        <v>0</v>
      </c>
      <c r="AI44" s="61">
        <f>IF(AND(AI40=1,AI41=8,AND(IFERROR(INDEX('Job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hours")),0,IF(OR(AI40&lt;=0,NOT(OR(AND(IFERROR(INDEX('Job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setup'!I$7:I$11,0)),"")&gt;=AI$6)))),0,IF(WEEKDAY(AI$6,1)=1,AI40*AI41,0)))</f>
        <v>0</v>
      </c>
      <c r="AJ44" s="61">
        <f>IF(AND(AJ40=1,AJ41=8,AND(IFERROR(INDEX('Job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hours")),0,IF(OR(AJ40&lt;=0,NOT(OR(AND(IFERROR(INDEX('Job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setup'!I$7:I$11,0)),"")&gt;=AJ$6)))),0,IF(WEEKDAY(AJ$6,1)=1,AJ40*AJ41,0)))</f>
        <v>0</v>
      </c>
      <c r="AK44" s="62">
        <f>IF(AND(AK40=0,AK41=0,AND(IFERROR(INDEX('Job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hours")),0,IF(OR(AK40&lt;=0,NOT(OR(AND(IFERROR(INDEX('Job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setup'!I$7:I$11,0)),"")&gt;=AK$6)))),0,IF(WEEKDAY(AK$6,1)=1,AK40*AK41,0)))</f>
        <v>0</v>
      </c>
      <c r="AL44" s="62">
        <f>IF(AND(AL40=0,AL41=0,AND(IFERROR(INDEX('Job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hours")),0,IF(OR(AL40&lt;=0,NOT(OR(AND(IFERROR(INDEX('Job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setup'!I$7:I$11,0)),"")&gt;=AL$6)))),0,IF(WEEKDAY(AL$6,1)=1,AL40*AL41,0)))</f>
        <v>0</v>
      </c>
      <c r="AM44" s="61">
        <f>IF(AND(AM40=1,AM41=8,AND(IFERROR(INDEX('Job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hours")),0,IF(OR(AM40&lt;=0,NOT(OR(AND(IFERROR(INDEX('Job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setup'!I$7:I$11,0)),"")&gt;=AM$6)))),0,IF(WEEKDAY(AM$6,1)=1,AM40*AM41,0)))</f>
        <v>0</v>
      </c>
      <c r="AN44" s="61">
        <f>IF(AND(AN40=1,AN41=8,AND(IFERROR(INDEX('Job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hours")),0,IF(OR(AN40&lt;=0,NOT(OR(AND(IFERROR(INDEX('Job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setup'!I$7:I$11,0)),"")&gt;=AN$6)))),0,IF(WEEKDAY(AN$6,1)=1,AN40*AN41,0)))</f>
        <v>0</v>
      </c>
      <c r="AO44" s="61">
        <f>IF(AND(AO40=1,AO41=8,AND(IFERROR(INDEX('Job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hours")),0,IF(OR(AO40&lt;=0,NOT(OR(AND(IFERROR(INDEX('Job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setup'!I$7:I$11,0)),"")&gt;=AO$6)))),0,IF(WEEKDAY(AO$6,1)=1,AO40*AO41,0)))</f>
        <v>0</v>
      </c>
      <c r="AP44" s="63">
        <f>IF(AND(AP40=1,AP41=8,AND(IFERROR(INDEX('Job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hours")),0,IF(OR(AP40&lt;=0,NOT(OR(AND(IFERROR(INDEX('Job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setup'!I$7:I$11,0)),"")&gt;=AP$6)))),0,IF(WEEKDAY(AP$6,1)=1,AP40*AP41,0)))</f>
        <v>0</v>
      </c>
      <c r="OU44" s="28" t="s">
        <v>72</v>
      </c>
    </row>
    <row r="45" ht="16" customHeight="1" spans="1:411" x14ac:dyDescent="0.25">
      <c r="A45" s="43"/>
      <c r="B45" s="44"/>
      <c r="C45" s="65">
        <f>I39*D45</f>
        <v>3080</v>
      </c>
      <c r="D45" s="65">
        <v>140</v>
      </c>
      <c r="E45" s="66" t="s">
        <v>65</v>
      </c>
      <c r="F45" s="47"/>
      <c r="G45" s="47"/>
      <c r="H45" s="47"/>
      <c r="I45" s="47"/>
      <c r="J45" s="48"/>
      <c r="K45" s="67">
        <v>1</v>
      </c>
      <c r="L45" s="68">
        <v>1</v>
      </c>
      <c r="M45" s="68">
        <v>1</v>
      </c>
      <c r="N45" s="68">
        <v>1</v>
      </c>
      <c r="O45" s="68">
        <v>1</v>
      </c>
      <c r="P45" s="69">
        <v>0</v>
      </c>
      <c r="Q45" s="69">
        <v>0</v>
      </c>
      <c r="R45" s="68">
        <v>1</v>
      </c>
      <c r="S45" s="68">
        <v>1</v>
      </c>
      <c r="T45" s="68">
        <v>1</v>
      </c>
      <c r="U45" s="68">
        <v>1</v>
      </c>
      <c r="V45" s="68">
        <v>1</v>
      </c>
      <c r="W45" s="69">
        <v>1</v>
      </c>
      <c r="X45" s="69">
        <v>1</v>
      </c>
      <c r="Y45" s="68">
        <v>1</v>
      </c>
      <c r="Z45" s="68">
        <v>1</v>
      </c>
      <c r="AA45" s="68">
        <v>1</v>
      </c>
      <c r="AB45" s="68">
        <v>1</v>
      </c>
      <c r="AC45" s="68">
        <v>1</v>
      </c>
      <c r="AD45" s="69">
        <v>1</v>
      </c>
      <c r="AE45" s="69">
        <v>1</v>
      </c>
      <c r="AF45" s="68">
        <v>1</v>
      </c>
      <c r="AG45" s="68">
        <v>1</v>
      </c>
      <c r="AH45" s="68">
        <v>1</v>
      </c>
      <c r="AI45" s="68">
        <v>0</v>
      </c>
      <c r="AJ45" s="68">
        <v>0</v>
      </c>
      <c r="AK45" s="69">
        <v>0</v>
      </c>
      <c r="AL45" s="69">
        <v>0</v>
      </c>
      <c r="AM45" s="68">
        <v>0</v>
      </c>
      <c r="AN45" s="68">
        <v>0</v>
      </c>
      <c r="AO45" s="68">
        <v>0</v>
      </c>
      <c r="AP45" s="70">
        <v>0</v>
      </c>
      <c r="OU45" s="58" t="s">
        <v>72</v>
      </c>
    </row>
    <row r="46" ht="8" customHeight="1" spans="1:42" x14ac:dyDescent="0.25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</row>
    <row r="47" ht="16" customHeight="1" spans="1:411" x14ac:dyDescent="0.25">
      <c r="A47" s="72" t="s">
        <v>66</v>
      </c>
      <c r="B47" s="44" t="s">
        <v>71</v>
      </c>
      <c r="C47" s="45">
        <f>J47</f>
        <v>23985.44</v>
      </c>
      <c r="D47" s="46"/>
      <c r="E47" s="46"/>
      <c r="F47" s="47">
        <f>SUM(K50:AP50)</f>
        <v>164</v>
      </c>
      <c r="G47" s="47">
        <f>SUM(K51:AP51)</f>
        <v>44</v>
      </c>
      <c r="H47" s="47">
        <f>SUM(K52:AP52)</f>
        <v>24</v>
      </c>
      <c r="I47" s="47">
        <f>SUM(K53:AP53)</f>
        <v>22</v>
      </c>
      <c r="J47" s="48">
        <f>C50+C51+C52</f>
        <v>23985.44</v>
      </c>
      <c r="K47" s="49"/>
      <c r="L47" s="50"/>
      <c r="M47" s="50"/>
      <c r="N47" s="50"/>
      <c r="O47" s="50"/>
      <c r="P47" s="51"/>
      <c r="Q47" s="51"/>
      <c r="R47" s="50"/>
      <c r="S47" s="50"/>
      <c r="T47" s="50"/>
      <c r="U47" s="50"/>
      <c r="V47" s="50"/>
      <c r="W47" s="51"/>
      <c r="X47" s="51"/>
      <c r="Y47" s="50"/>
      <c r="Z47" s="50"/>
      <c r="AA47" s="50"/>
      <c r="AB47" s="50"/>
      <c r="AC47" s="50"/>
      <c r="AD47" s="51"/>
      <c r="AE47" s="51"/>
      <c r="AF47" s="50"/>
      <c r="AG47" s="50"/>
      <c r="AH47" s="50"/>
      <c r="AI47" s="50"/>
      <c r="AJ47" s="50"/>
      <c r="AK47" s="51"/>
      <c r="AL47" s="51"/>
      <c r="AM47" s="50"/>
      <c r="AN47" s="50"/>
      <c r="AO47" s="50"/>
      <c r="AP47" s="52"/>
      <c r="OU47" s="28" t="s">
        <v>73</v>
      </c>
    </row>
    <row r="48" ht="16" customHeight="1" spans="1:411" x14ac:dyDescent="0.25">
      <c r="A48" s="72"/>
      <c r="B48" s="44"/>
      <c r="C48" s="45"/>
      <c r="D48" s="46"/>
      <c r="E48" s="53" t="s">
        <v>60</v>
      </c>
      <c r="F48" s="47"/>
      <c r="G48" s="47"/>
      <c r="H48" s="47"/>
      <c r="I48" s="47"/>
      <c r="J48" s="48"/>
      <c r="K48" s="54">
        <v>1</v>
      </c>
      <c r="L48" s="55">
        <v>1</v>
      </c>
      <c r="M48" s="55">
        <v>1</v>
      </c>
      <c r="N48" s="55">
        <v>1</v>
      </c>
      <c r="O48" s="55">
        <v>1</v>
      </c>
      <c r="P48" s="56">
        <v>0</v>
      </c>
      <c r="Q48" s="56">
        <v>0</v>
      </c>
      <c r="R48" s="55">
        <v>1</v>
      </c>
      <c r="S48" s="55">
        <v>1</v>
      </c>
      <c r="T48" s="55">
        <v>1</v>
      </c>
      <c r="U48" s="55">
        <v>1</v>
      </c>
      <c r="V48" s="55">
        <v>1</v>
      </c>
      <c r="W48" s="56">
        <v>1</v>
      </c>
      <c r="X48" s="56">
        <v>1</v>
      </c>
      <c r="Y48" s="55">
        <v>1</v>
      </c>
      <c r="Z48" s="55">
        <v>1</v>
      </c>
      <c r="AA48" s="55">
        <v>1</v>
      </c>
      <c r="AB48" s="55">
        <v>1</v>
      </c>
      <c r="AC48" s="55">
        <v>1</v>
      </c>
      <c r="AD48" s="56">
        <v>1</v>
      </c>
      <c r="AE48" s="56">
        <v>1</v>
      </c>
      <c r="AF48" s="55">
        <v>1</v>
      </c>
      <c r="AG48" s="55">
        <v>1</v>
      </c>
      <c r="AH48" s="55">
        <v>1</v>
      </c>
      <c r="AI48" s="55">
        <v>0</v>
      </c>
      <c r="AJ48" s="55">
        <v>0</v>
      </c>
      <c r="AK48" s="56">
        <v>0</v>
      </c>
      <c r="AL48" s="56">
        <v>0</v>
      </c>
      <c r="AM48" s="55">
        <v>0</v>
      </c>
      <c r="AN48" s="55">
        <v>0</v>
      </c>
      <c r="AO48" s="55">
        <v>0</v>
      </c>
      <c r="AP48" s="57">
        <v>0</v>
      </c>
      <c r="OU48" s="58" t="s">
        <v>73</v>
      </c>
    </row>
    <row r="49" ht="16" customHeight="1" spans="1:411" x14ac:dyDescent="0.25">
      <c r="A49" s="72"/>
      <c r="B49" s="44"/>
      <c r="C49" s="45"/>
      <c r="D49" s="46"/>
      <c r="E49" s="53" t="s">
        <v>61</v>
      </c>
      <c r="F49" s="47"/>
      <c r="G49" s="47"/>
      <c r="H49" s="47"/>
      <c r="I49" s="47"/>
      <c r="J49" s="48"/>
      <c r="K49" s="54">
        <v>8</v>
      </c>
      <c r="L49" s="55">
        <v>8</v>
      </c>
      <c r="M49" s="55">
        <v>8</v>
      </c>
      <c r="N49" s="55">
        <v>8</v>
      </c>
      <c r="O49" s="55">
        <v>8</v>
      </c>
      <c r="P49" s="56">
        <v>0</v>
      </c>
      <c r="Q49" s="56">
        <v>0</v>
      </c>
      <c r="R49" s="55">
        <v>8</v>
      </c>
      <c r="S49" s="55">
        <v>8</v>
      </c>
      <c r="T49" s="55">
        <v>8</v>
      </c>
      <c r="U49" s="55">
        <v>12</v>
      </c>
      <c r="V49" s="55">
        <v>12</v>
      </c>
      <c r="W49" s="56">
        <v>12</v>
      </c>
      <c r="X49" s="56">
        <v>12</v>
      </c>
      <c r="Y49" s="55">
        <v>12</v>
      </c>
      <c r="Z49" s="55">
        <v>12</v>
      </c>
      <c r="AA49" s="55">
        <v>12</v>
      </c>
      <c r="AB49" s="55">
        <v>12</v>
      </c>
      <c r="AC49" s="55">
        <v>12</v>
      </c>
      <c r="AD49" s="56">
        <v>12</v>
      </c>
      <c r="AE49" s="56">
        <v>12</v>
      </c>
      <c r="AF49" s="55">
        <v>12</v>
      </c>
      <c r="AG49" s="55">
        <v>12</v>
      </c>
      <c r="AH49" s="55">
        <v>12</v>
      </c>
      <c r="AI49" s="55">
        <v>0</v>
      </c>
      <c r="AJ49" s="55">
        <v>0</v>
      </c>
      <c r="AK49" s="56">
        <v>0</v>
      </c>
      <c r="AL49" s="56">
        <v>0</v>
      </c>
      <c r="AM49" s="55">
        <v>0</v>
      </c>
      <c r="AN49" s="55">
        <v>0</v>
      </c>
      <c r="AO49" s="55">
        <v>0</v>
      </c>
      <c r="AP49" s="57">
        <v>0</v>
      </c>
      <c r="OU49" s="58" t="s">
        <v>73</v>
      </c>
    </row>
    <row r="50" ht="16" customHeight="1" spans="1:411" x14ac:dyDescent="0.25">
      <c r="A50" s="72"/>
      <c r="B50" s="44"/>
      <c r="C50" s="59">
        <f>F47*N(D50)</f>
        <v>14927.279999999999</v>
      </c>
      <c r="D50" s="59">
        <f>IF(TRIM(B47)="","No rate",IFERROR(INDEX('Rate Tables'!C$7:C$161,MATCH(B47,'Rate Tables'!A$7:A$161,0)),"No rate"))</f>
        <v>91.02</v>
      </c>
      <c r="E50" s="53" t="s">
        <v>62</v>
      </c>
      <c r="F50" s="47"/>
      <c r="G50" s="47"/>
      <c r="H50" s="47"/>
      <c r="I50" s="47"/>
      <c r="J50" s="48"/>
      <c r="K50" s="60">
        <f>IF(AND(K48=1,K49=8,AND(IFERROR(INDEX('Job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hours")),8,MIN(IF(OR(K48&lt;=0,NOT(OR(AND(IFERROR(INDEX('Job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8"),FALSE))))),8,10),K49)*K48)),MAX(0,40*MAX(1,K48)-(0))))</f>
        <v>8</v>
      </c>
      <c r="L50" s="61">
        <f>IF(AND(L48=1,L49=8,AND(IFERROR(INDEX('Job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hours")),8,MIN(IF(OR(L48&lt;=0,NOT(OR(AND(IFERROR(INDEX('Job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8"),FALSE))))),8,10),L49)*L48)),MAX(0,40*MAX(1,L48)-(K50))))</f>
        <v>8</v>
      </c>
      <c r="M50" s="61">
        <f>IF(AND(M48=1,M49=8,AND(IFERROR(INDEX('Job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hours")),8,MIN(IF(OR(M48&lt;=0,NOT(OR(AND(IFERROR(INDEX('Job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8"),FALSE))))),8,10),M49)*M48)),MAX(0,40*MAX(1,M48)-(K50+L50))))</f>
        <v>8</v>
      </c>
      <c r="N50" s="61">
        <f>IF(AND(N48=1,N49=8,AND(IFERROR(INDEX('Job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hours")),8,MIN(IF(OR(N48&lt;=0,NOT(OR(AND(IFERROR(INDEX('Job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8"),FALSE))))),8,10),N49)*N48)),MAX(0,40*MAX(1,N48)-(K50+L50+M50))))</f>
        <v>8</v>
      </c>
      <c r="O50" s="61">
        <f>IF(AND(O48=1,O49=8,AND(IFERROR(INDEX('Job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hours")),8,MIN(IF(OR(O48&lt;=0,NOT(OR(AND(IFERROR(INDEX('Job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8"),FALSE))))),8,10),O49)*O48)),MAX(0,40*MAX(1,O48)-(K50+L50+M50+N50))))</f>
        <v>8</v>
      </c>
      <c r="P50" s="62">
        <f>IF(AND(P48=0,P49=0,AND(IFERROR(INDEX('Job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hours")),0,MIN(IF(OR(P48&lt;=0,NOT(OR(AND(IFERROR(INDEX('Job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8"),FALSE))))),8,10),P49)*P48)),MAX(0,40*MAX(1,P48)-(0))))</f>
        <v>0</v>
      </c>
      <c r="Q50" s="62">
        <f>IF(AND(Q48=0,Q49=0,AND(IFERROR(INDEX('Job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hours")),0,MIN(IF(OR(Q48&lt;=0,NOT(OR(AND(IFERROR(INDEX('Job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8"),FALSE))))),8,10),Q49)*Q48)),MAX(0,40*MAX(1,Q48)-(P50))))</f>
        <v>0</v>
      </c>
      <c r="R50" s="61">
        <f>IF(AND(R48=1,R49=8,AND(IFERROR(INDEX('Job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hours")),8,MIN(IF(OR(R48&lt;=0,NOT(OR(AND(IFERROR(INDEX('Job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8"),FALSE))))),8,10),R49)*R48)),MAX(0,40*MAX(1,R48)-(0))))</f>
        <v>8</v>
      </c>
      <c r="S50" s="61">
        <f>IF(AND(S48=1,S49=8,AND(IFERROR(INDEX('Job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hours")),8,MIN(IF(OR(S48&lt;=0,NOT(OR(AND(IFERROR(INDEX('Job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8"),FALSE))))),8,10),S49)*S48)),MAX(0,40*MAX(1,S48)-(R50))))</f>
        <v>8</v>
      </c>
      <c r="T50" s="61">
        <f>IF(AND(T48=1,T49=8,AND(IFERROR(INDEX('Job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hours")),8,MIN(IF(OR(T48&lt;=0,NOT(OR(AND(IFERROR(INDEX('Job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8"),FALSE))))),8,10),T49)*T48)),MAX(0,40*MAX(1,T48)-(R50+S50))))</f>
        <v>8</v>
      </c>
      <c r="U50" s="61">
        <f>IF(AND(U48=1,U49=12,AND(IFERROR(INDEX('Job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setup'!I$7:I$11,0)),"")=0))),10,MIN(IF(OR(U48&lt;=0,NOT(OR(AND(IFERROR(INDEX('Job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8"),FALSE))))),8,10),U49)*U48)),MAX(0,40*MAX(1,U48)-(0))))</f>
        <v>10</v>
      </c>
      <c r="V50" s="61">
        <f>IF(AND(V48=1,V49=12,AND(IFERROR(INDEX('Job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setup'!I$7:I$11,0)),"")=0))),10,MIN(IF(OR(V48&lt;=0,NOT(OR(AND(IFERROR(INDEX('Job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8"),FALSE))))),8,10),V49)*V48)),MAX(0,40*MAX(1,V48)-(U50))))</f>
        <v>10</v>
      </c>
      <c r="W50" s="62">
        <f>IF(AND(W48=1,W49=12,AND(IFERROR(INDEX('Job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setup'!I$7:I$11,0)),"")=0))),10,MIN(IF(OR(W48&lt;=0,NOT(OR(AND(IFERROR(INDEX('Job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8"),FALSE))))),8,10),W49)*W48)),MAX(0,40*MAX(1,W48)-(U50+V50))))</f>
        <v>10</v>
      </c>
      <c r="X50" s="62">
        <f>IF(AND(X48=1,X49=12,AND(IFERROR(INDEX('Job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setup'!I$7:I$11,0)),"")=0))),0,MIN(IF(OR(X48&lt;=0,NOT(OR(AND(IFERROR(INDEX('Job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8"),FALSE))))),8,10),X49)*X48)),MAX(0,40*MAX(1,X48)-(U50+V50+W50))))</f>
        <v>0</v>
      </c>
      <c r="Y50" s="61">
        <f>IF(AND(Y48=1,Y49=12,AND(IFERROR(INDEX('Job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setup'!I$7:I$11,0)),"")=0))),10,MIN(IF(OR(Y48&lt;=0,NOT(OR(AND(IFERROR(INDEX('Job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8"),FALSE))))),8,10),Y49)*Y48)),MAX(0,40*MAX(1,Y48)-(0))))</f>
        <v>10</v>
      </c>
      <c r="Z50" s="61">
        <f>IF(AND(Z48=1,Z49=12,AND(IFERROR(INDEX('Job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setup'!I$7:I$11,0)),"")=0))),10,MIN(IF(OR(Z48&lt;=0,NOT(OR(AND(IFERROR(INDEX('Job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8"),FALSE))))),8,10),Z49)*Z48)),MAX(0,40*MAX(1,Z48)-(Y50))))</f>
        <v>10</v>
      </c>
      <c r="AA50" s="61">
        <f>IF(AND(AA48=1,AA49=12,AND(IFERROR(INDEX('Job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setup'!I$7:I$11,0)),"")=0))),10,MIN(IF(OR(AA48&lt;=0,NOT(OR(AND(IFERROR(INDEX('Job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8"),FALSE))))),8,10),AA49)*AA48)),MAX(0,40*MAX(1,AA48)-(Y50+Z50))))</f>
        <v>10</v>
      </c>
      <c r="AB50" s="61">
        <f>IF(AND(AB48=1,AB49=12,AND(IFERROR(INDEX('Job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setup'!I$7:I$11,0)),"")=0))),10,MIN(IF(OR(AB48&lt;=0,NOT(OR(AND(IFERROR(INDEX('Job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8"),FALSE))))),8,10),AB49)*AB48)),MAX(0,40*MAX(1,AB48)-(Y50+Z50+AA50))))</f>
        <v>10</v>
      </c>
      <c r="AC50" s="61">
        <f>IF(AND(AC48=1,AC49=12,AND(IFERROR(INDEX('Job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setup'!I$7:I$11,0)),"")=0))),0,MIN(IF(OR(AC48&lt;=0,NOT(OR(AND(IFERROR(INDEX('Job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8"),FALSE))))),8,10),AC49)*AC48)),MAX(0,40*MAX(1,AC48)-(Y50+Z50+AA50+AB50))))</f>
        <v>0</v>
      </c>
      <c r="AD50" s="62">
        <f>IF(AND(AD48=1,AD49=12,AND(IFERROR(INDEX('Job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setup'!I$7:I$11,0)),"")=0))),0,MIN(IF(OR(AD48&lt;=0,NOT(OR(AND(IFERROR(INDEX('Job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8"),FALSE))))),8,10),AD49)*AD48)),MAX(0,40*MAX(1,AD48)-(Y50+Z50+AA50+AB50+AC50))))</f>
        <v>0</v>
      </c>
      <c r="AE50" s="62">
        <f>IF(AND(AE48=1,AE49=12,AND(IFERROR(INDEX('Job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setup'!I$7:I$11,0)),"")=0))),0,MIN(IF(OR(AE48&lt;=0,NOT(OR(AND(IFERROR(INDEX('Job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8"),FALSE))))),8,10),AE49)*AE48)),MAX(0,40*MAX(1,AE48)-(Y50+Z50+AA50+AB50+AC50+AD50))))</f>
        <v>0</v>
      </c>
      <c r="AF50" s="61">
        <f>IF(AND(AF48=1,AF49=12,AND(IFERROR(INDEX('Job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setup'!I$7:I$11,0)),"")=0))),10,MIN(IF(OR(AF48&lt;=0,NOT(OR(AND(IFERROR(INDEX('Job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8"),FALSE))))),8,10),AF49)*AF48)),MAX(0,40*MAX(1,AF48)-(0))))</f>
        <v>10</v>
      </c>
      <c r="AG50" s="61">
        <f>IF(AND(AG48=1,AG49=12,AND(IFERROR(INDEX('Job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setup'!I$7:I$11,0)),"")=0))),10,MIN(IF(OR(AG48&lt;=0,NOT(OR(AND(IFERROR(INDEX('Job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8"),FALSE))))),8,10),AG49)*AG48)),MAX(0,40*MAX(1,AG48)-(AF50))))</f>
        <v>10</v>
      </c>
      <c r="AH50" s="61">
        <f>IF(AND(AH48=1,AH49=12,AND(IFERROR(INDEX('Job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setup'!I$7:I$11,0)),"")=0))),10,MIN(IF(OR(AH48&lt;=0,NOT(OR(AND(IFERROR(INDEX('Job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8"),FALSE))))),8,10),AH49)*AH48)),MAX(0,40*MAX(1,AH48)-(AF50+AG50))))</f>
        <v>10</v>
      </c>
      <c r="AI50" s="61">
        <f>IF(AND(AI48=0,AI49=0,AND(IFERROR(INDEX('Job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hours")),0,MIN(IF(OR(AI48&lt;=0,NOT(OR(AND(IFERROR(INDEX('Job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8"),FALSE))))),8,10),AI49)*AI48)),MAX(0,40*MAX(1,AI48)-(0))))</f>
        <v>0</v>
      </c>
      <c r="AJ50" s="61">
        <f>IF(AND(AJ48=0,AJ49=0,AND(IFERROR(INDEX('Job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hours")),0,MIN(IF(OR(AJ48&lt;=0,NOT(OR(AND(IFERROR(INDEX('Job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8"),FALSE))))),8,10),AJ49)*AJ48)),MAX(0,40*MAX(1,AJ48)-(AI50))))</f>
        <v>0</v>
      </c>
      <c r="AK50" s="62">
        <f>IF(AND(AK48=0,AK49=0,AND(IFERROR(INDEX('Job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hours")),0,MIN(IF(OR(AK48&lt;=0,NOT(OR(AND(IFERROR(INDEX('Job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8"),FALSE))))),8,10),AK49)*AK48)),MAX(0,40*MAX(1,AK48)-(AI50+AJ50))))</f>
        <v>0</v>
      </c>
      <c r="AL50" s="62">
        <f>IF(AND(AL48=0,AL49=0,AND(IFERROR(INDEX('Job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hours")),0,MIN(IF(OR(AL48&lt;=0,NOT(OR(AND(IFERROR(INDEX('Job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8"),FALSE))))),8,10),AL49)*AL48)),MAX(0,40*MAX(1,AL48)-(AI50+AJ50+AK50))))</f>
        <v>0</v>
      </c>
      <c r="AM50" s="61">
        <f>IF(AND(AM48=0,AM49=0,AND(IFERROR(INDEX('Job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hours")),0,MIN(IF(OR(AM48&lt;=0,NOT(OR(AND(IFERROR(INDEX('Job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8"),FALSE))))),8,10),AM49)*AM48)),MAX(0,40*MAX(1,AM48)-(0))))</f>
        <v>0</v>
      </c>
      <c r="AN50" s="61">
        <f>IF(AND(AN48=0,AN49=0,AND(IFERROR(INDEX('Job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hours")),0,MIN(IF(OR(AN48&lt;=0,NOT(OR(AND(IFERROR(INDEX('Job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8"),FALSE))))),8,10),AN49)*AN48)),MAX(0,40*MAX(1,AN48)-(AM50))))</f>
        <v>0</v>
      </c>
      <c r="AO50" s="61">
        <f>IF(AND(AO48=0,AO49=0,AND(IFERROR(INDEX('Job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hours")),0,MIN(IF(OR(AO48&lt;=0,NOT(OR(AND(IFERROR(INDEX('Job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8"),FALSE))))),8,10),AO49)*AO48)),MAX(0,40*MAX(1,AO48)-(AM50+AN50))))</f>
        <v>0</v>
      </c>
      <c r="AP50" s="63">
        <f>IF(AND(AP48=0,AP49=0,AND(IFERROR(INDEX('Job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hours")),0,MIN(IF(OR(AP48&lt;=0,NOT(OR(AND(IFERROR(INDEX('Job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8"),FALSE))))),8,10),AP49)*AP48)),MAX(0,40*MAX(1,AP48)-(AM50+AN50+AO50))))</f>
        <v>0</v>
      </c>
      <c r="OU50" s="28" t="s">
        <v>73</v>
      </c>
    </row>
    <row r="51" ht="16" customHeight="1" spans="1:411" x14ac:dyDescent="0.25">
      <c r="A51" s="72"/>
      <c r="B51" s="44"/>
      <c r="C51" s="64">
        <f>G47*N(D51)</f>
        <v>5376.8</v>
      </c>
      <c r="D51" s="64">
        <f>IF(TRIM(B47)="","No rate",IFERROR(INDEX('Rate Tables'!D$7:D$161,MATCH(B47,'Rate Tables'!A$7:A$161,0)),"No rate"))</f>
        <v>122.2</v>
      </c>
      <c r="E51" s="53" t="s">
        <v>63</v>
      </c>
      <c r="F51" s="47"/>
      <c r="G51" s="47"/>
      <c r="H51" s="47"/>
      <c r="I51" s="47"/>
      <c r="J51" s="48"/>
      <c r="K51" s="60">
        <f>IF(AND(K48=1,K49=8,AND(IFERROR(INDEX('Job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hours")),0,IF(OR(K48&lt;=0,NOT(OR(AND(IFERROR(INDEX('Job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setup'!I$7:I$11,0)),"")&gt;=K$6)))),0,IF(WEEKDAY(K$6,1)=1,0,MAX(0,K49-(IF(IF(AND(IFERROR(INDEX('Job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8"),FALSE))))),8,10)))*K48))+((IF(OR(K48&lt;=0,NOT(OR(AND(IFERROR(INDEX('Job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8"),FALSE))))),8,10),K49)*K48)))-MIN(IF(OR(K48&lt;=0,NOT(OR(AND(IFERROR(INDEX('Job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setup'!I$7:I$11,0)),"")&gt;=K$6)))),0,IF(WEEKDAY(K$6,1)=1,0,MIN(IF(IF(AND(IFERROR(INDEX('Job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8"),FALSE))))),8,10),K49)*K48)),MAX(0,40*MAX(1,K48)-(0)))))</f>
        <v>0</v>
      </c>
      <c r="L51" s="61">
        <f>IF(AND(L48=1,L49=8,AND(IFERROR(INDEX('Job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hours")),0,IF(OR(L48&lt;=0,NOT(OR(AND(IFERROR(INDEX('Job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setup'!I$7:I$11,0)),"")&gt;=L$6)))),0,IF(WEEKDAY(L$6,1)=1,0,MAX(0,L49-(IF(IF(AND(IFERROR(INDEX('Job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8"),FALSE))))),8,10)))*L48))+((IF(OR(L48&lt;=0,NOT(OR(AND(IFERROR(INDEX('Job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8"),FALSE))))),8,10),L49)*L48)))-MIN(IF(OR(L48&lt;=0,NOT(OR(AND(IFERROR(INDEX('Job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setup'!I$7:I$11,0)),"")&gt;=L$6)))),0,IF(WEEKDAY(L$6,1)=1,0,MIN(IF(IF(AND(IFERROR(INDEX('Job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8"),FALSE))))),8,10),L49)*L48)),MAX(0,40*MAX(1,L48)-(K50)))))</f>
        <v>0</v>
      </c>
      <c r="M51" s="61">
        <f>IF(AND(M48=1,M49=8,AND(IFERROR(INDEX('Job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hours")),0,IF(OR(M48&lt;=0,NOT(OR(AND(IFERROR(INDEX('Job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setup'!I$7:I$11,0)),"")&gt;=M$6)))),0,IF(WEEKDAY(M$6,1)=1,0,MAX(0,M49-(IF(IF(AND(IFERROR(INDEX('Job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8"),FALSE))))),8,10)))*M48))+((IF(OR(M48&lt;=0,NOT(OR(AND(IFERROR(INDEX('Job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8"),FALSE))))),8,10),M49)*M48)))-MIN(IF(OR(M48&lt;=0,NOT(OR(AND(IFERROR(INDEX('Job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setup'!I$7:I$11,0)),"")&gt;=M$6)))),0,IF(WEEKDAY(M$6,1)=1,0,MIN(IF(IF(AND(IFERROR(INDEX('Job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8"),FALSE))))),8,10),M49)*M48)),MAX(0,40*MAX(1,M48)-(K50+L50)))))</f>
        <v>0</v>
      </c>
      <c r="N51" s="61">
        <f>IF(AND(N48=1,N49=8,AND(IFERROR(INDEX('Job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hours")),0,IF(OR(N48&lt;=0,NOT(OR(AND(IFERROR(INDEX('Job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setup'!I$7:I$11,0)),"")&gt;=N$6)))),0,IF(WEEKDAY(N$6,1)=1,0,MAX(0,N49-(IF(IF(AND(IFERROR(INDEX('Job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8"),FALSE))))),8,10)))*N48))+((IF(OR(N48&lt;=0,NOT(OR(AND(IFERROR(INDEX('Job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8"),FALSE))))),8,10),N49)*N48)))-MIN(IF(OR(N48&lt;=0,NOT(OR(AND(IFERROR(INDEX('Job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setup'!I$7:I$11,0)),"")&gt;=N$6)))),0,IF(WEEKDAY(N$6,1)=1,0,MIN(IF(IF(AND(IFERROR(INDEX('Job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8"),FALSE))))),8,10),N49)*N48)),MAX(0,40*MAX(1,N48)-(K50+L50+M50)))))</f>
        <v>0</v>
      </c>
      <c r="O51" s="61">
        <f>IF(AND(O48=1,O49=8,AND(IFERROR(INDEX('Job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hours")),0,IF(OR(O48&lt;=0,NOT(OR(AND(IFERROR(INDEX('Job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setup'!I$7:I$11,0)),"")&gt;=O$6)))),0,IF(WEEKDAY(O$6,1)=1,0,MAX(0,O49-(IF(IF(AND(IFERROR(INDEX('Job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8"),FALSE))))),8,10)))*O48))+((IF(OR(O48&lt;=0,NOT(OR(AND(IFERROR(INDEX('Job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8"),FALSE))))),8,10),O49)*O48)))-MIN(IF(OR(O48&lt;=0,NOT(OR(AND(IFERROR(INDEX('Job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setup'!I$7:I$11,0)),"")&gt;=O$6)))),0,IF(WEEKDAY(O$6,1)=1,0,MIN(IF(IF(AND(IFERROR(INDEX('Job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8"),FALSE))))),8,10),O49)*O48)),MAX(0,40*MAX(1,O48)-(K50+L50+M50+N50)))))</f>
        <v>0</v>
      </c>
      <c r="P51" s="62">
        <f>IF(AND(P48=0,P49=0,AND(IFERROR(INDEX('Job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hours")),0,IF(OR(P48&lt;=0,NOT(OR(AND(IFERROR(INDEX('Job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setup'!I$7:I$11,0)),"")&gt;=P$6)))),0,IF(WEEKDAY(P$6,1)=1,0,MAX(0,P49-(IF(IF(AND(IFERROR(INDEX('Job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8"),FALSE))))),8,10)))*P48))+((IF(OR(P48&lt;=0,NOT(OR(AND(IFERROR(INDEX('Job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8"),FALSE))))),8,10),P49)*P48)))-MIN(IF(OR(P48&lt;=0,NOT(OR(AND(IFERROR(INDEX('Job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setup'!I$7:I$11,0)),"")&gt;=P$6)))),0,IF(WEEKDAY(P$6,1)=1,0,MIN(IF(IF(AND(IFERROR(INDEX('Job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8"),FALSE))))),8,10),P49)*P48)),MAX(0,40*MAX(1,P48)-(0)))))</f>
        <v>0</v>
      </c>
      <c r="Q51" s="62">
        <f>IF(AND(Q48=0,Q49=0,AND(IFERROR(INDEX('Job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hours")),0,IF(OR(Q48&lt;=0,NOT(OR(AND(IFERROR(INDEX('Job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setup'!I$7:I$11,0)),"")&gt;=Q$6)))),0,IF(WEEKDAY(Q$6,1)=1,0,MAX(0,Q49-(IF(IF(AND(IFERROR(INDEX('Job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8"),FALSE))))),8,10)))*Q48))+((IF(OR(Q48&lt;=0,NOT(OR(AND(IFERROR(INDEX('Job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8"),FALSE))))),8,10),Q49)*Q48)))-MIN(IF(OR(Q48&lt;=0,NOT(OR(AND(IFERROR(INDEX('Job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setup'!I$7:I$11,0)),"")&gt;=Q$6)))),0,IF(WEEKDAY(Q$6,1)=1,0,MIN(IF(IF(AND(IFERROR(INDEX('Job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8"),FALSE))))),8,10),Q49)*Q48)),MAX(0,40*MAX(1,Q48)-(P50)))))</f>
        <v>0</v>
      </c>
      <c r="R51" s="61">
        <f>IF(AND(R48=1,R49=8,AND(IFERROR(INDEX('Job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hours")),0,IF(OR(R48&lt;=0,NOT(OR(AND(IFERROR(INDEX('Job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setup'!I$7:I$11,0)),"")&gt;=R$6)))),0,IF(WEEKDAY(R$6,1)=1,0,MAX(0,R49-(IF(IF(AND(IFERROR(INDEX('Job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8"),FALSE))))),8,10)))*R48))+((IF(OR(R48&lt;=0,NOT(OR(AND(IFERROR(INDEX('Job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8"),FALSE))))),8,10),R49)*R48)))-MIN(IF(OR(R48&lt;=0,NOT(OR(AND(IFERROR(INDEX('Job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setup'!I$7:I$11,0)),"")&gt;=R$6)))),0,IF(WEEKDAY(R$6,1)=1,0,MIN(IF(IF(AND(IFERROR(INDEX('Job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8"),FALSE))))),8,10),R49)*R48)),MAX(0,40*MAX(1,R48)-(0)))))</f>
        <v>0</v>
      </c>
      <c r="S51" s="61">
        <f>IF(AND(S48=1,S49=8,AND(IFERROR(INDEX('Job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hours")),0,IF(OR(S48&lt;=0,NOT(OR(AND(IFERROR(INDEX('Job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setup'!I$7:I$11,0)),"")&gt;=S$6)))),0,IF(WEEKDAY(S$6,1)=1,0,MAX(0,S49-(IF(IF(AND(IFERROR(INDEX('Job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8"),FALSE))))),8,10)))*S48))+((IF(OR(S48&lt;=0,NOT(OR(AND(IFERROR(INDEX('Job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8"),FALSE))))),8,10),S49)*S48)))-MIN(IF(OR(S48&lt;=0,NOT(OR(AND(IFERROR(INDEX('Job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setup'!I$7:I$11,0)),"")&gt;=S$6)))),0,IF(WEEKDAY(S$6,1)=1,0,MIN(IF(IF(AND(IFERROR(INDEX('Job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8"),FALSE))))),8,10),S49)*S48)),MAX(0,40*MAX(1,S48)-(R50)))))</f>
        <v>0</v>
      </c>
      <c r="T51" s="61">
        <f>IF(AND(T48=1,T49=8,AND(IFERROR(INDEX('Job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hours")),0,IF(OR(T48&lt;=0,NOT(OR(AND(IFERROR(INDEX('Job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setup'!I$7:I$11,0)),"")&gt;=T$6)))),0,IF(WEEKDAY(T$6,1)=1,0,MAX(0,T49-(IF(IF(AND(IFERROR(INDEX('Job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8"),FALSE))))),8,10)))*T48))+((IF(OR(T48&lt;=0,NOT(OR(AND(IFERROR(INDEX('Job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8"),FALSE))))),8,10),T49)*T48)))-MIN(IF(OR(T48&lt;=0,NOT(OR(AND(IFERROR(INDEX('Job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setup'!I$7:I$11,0)),"")&gt;=T$6)))),0,IF(WEEKDAY(T$6,1)=1,0,MIN(IF(IF(AND(IFERROR(INDEX('Job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8"),FALSE))))),8,10),T49)*T48)),MAX(0,40*MAX(1,T48)-(R50+S50)))))</f>
        <v>0</v>
      </c>
      <c r="U51" s="61">
        <f>IF(AND(U48=1,U49=12,AND(IFERROR(INDEX('Job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setup'!I$7:I$11,0)),"")=0))),2,IF(OR(U48&lt;=0,NOT(OR(AND(IFERROR(INDEX('Job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setup'!I$7:I$11,0)),"")&gt;=U$6)))),0,IF(WEEKDAY(U$6,1)=1,0,MAX(0,U49-(IF(IF(AND(IFERROR(INDEX('Job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8"),FALSE))))),8,10)))*U48))+((IF(OR(U48&lt;=0,NOT(OR(AND(IFERROR(INDEX('Job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8"),FALSE))))),8,10),U49)*U48)))-MIN(IF(OR(U48&lt;=0,NOT(OR(AND(IFERROR(INDEX('Job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setup'!I$7:I$11,0)),"")&gt;=U$6)))),0,IF(WEEKDAY(U$6,1)=1,0,MIN(IF(IF(AND(IFERROR(INDEX('Job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8"),FALSE))))),8,10),U49)*U48)),MAX(0,40*MAX(1,U48)-(0)))))</f>
        <v>2</v>
      </c>
      <c r="V51" s="61">
        <f>IF(AND(V48=1,V49=12,AND(IFERROR(INDEX('Job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setup'!I$7:I$11,0)),"")=0))),2,IF(OR(V48&lt;=0,NOT(OR(AND(IFERROR(INDEX('Job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setup'!I$7:I$11,0)),"")&gt;=V$6)))),0,IF(WEEKDAY(V$6,1)=1,0,MAX(0,V49-(IF(IF(AND(IFERROR(INDEX('Job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8"),FALSE))))),8,10)))*V48))+((IF(OR(V48&lt;=0,NOT(OR(AND(IFERROR(INDEX('Job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8"),FALSE))))),8,10),V49)*V48)))-MIN(IF(OR(V48&lt;=0,NOT(OR(AND(IFERROR(INDEX('Job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setup'!I$7:I$11,0)),"")&gt;=V$6)))),0,IF(WEEKDAY(V$6,1)=1,0,MIN(IF(IF(AND(IFERROR(INDEX('Job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8"),FALSE))))),8,10),V49)*V48)),MAX(0,40*MAX(1,V48)-(U50)))))</f>
        <v>2</v>
      </c>
      <c r="W51" s="62">
        <f>IF(AND(W48=1,W49=12,AND(IFERROR(INDEX('Job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setup'!I$7:I$11,0)),"")=0))),2,IF(OR(W48&lt;=0,NOT(OR(AND(IFERROR(INDEX('Job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setup'!I$7:I$11,0)),"")&gt;=W$6)))),0,IF(WEEKDAY(W$6,1)=1,0,MAX(0,W49-(IF(IF(AND(IFERROR(INDEX('Job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8"),FALSE))))),8,10)))*W48))+((IF(OR(W48&lt;=0,NOT(OR(AND(IFERROR(INDEX('Job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8"),FALSE))))),8,10),W49)*W48)))-MIN(IF(OR(W48&lt;=0,NOT(OR(AND(IFERROR(INDEX('Job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setup'!I$7:I$11,0)),"")&gt;=W$6)))),0,IF(WEEKDAY(W$6,1)=1,0,MIN(IF(IF(AND(IFERROR(INDEX('Job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8"),FALSE))))),8,10),W49)*W48)),MAX(0,40*MAX(1,W48)-(U50+V50)))))</f>
        <v>2</v>
      </c>
      <c r="X51" s="62">
        <f>IF(AND(X48=1,X49=12,AND(IFERROR(INDEX('Job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setup'!I$7:I$11,0)),"")=0))),0,IF(OR(X48&lt;=0,NOT(OR(AND(IFERROR(INDEX('Job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setup'!I$7:I$11,0)),"")&gt;=X$6)))),0,IF(WEEKDAY(X$6,1)=1,0,MAX(0,X49-(IF(IF(AND(IFERROR(INDEX('Job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8"),FALSE))))),8,10)))*X48))+((IF(OR(X48&lt;=0,NOT(OR(AND(IFERROR(INDEX('Job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8"),FALSE))))),8,10),X49)*X48)))-MIN(IF(OR(X48&lt;=0,NOT(OR(AND(IFERROR(INDEX('Job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setup'!I$7:I$11,0)),"")&gt;=X$6)))),0,IF(WEEKDAY(X$6,1)=1,0,MIN(IF(IF(AND(IFERROR(INDEX('Job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8"),FALSE))))),8,10),X49)*X48)),MAX(0,40*MAX(1,X48)-(U50+V50+W50)))))</f>
        <v>0</v>
      </c>
      <c r="Y51" s="61">
        <f>IF(AND(Y48=1,Y49=12,AND(IFERROR(INDEX('Job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setup'!I$7:I$11,0)),"")=0))),2,IF(OR(Y48&lt;=0,NOT(OR(AND(IFERROR(INDEX('Job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setup'!I$7:I$11,0)),"")&gt;=Y$6)))),0,IF(WEEKDAY(Y$6,1)=1,0,MAX(0,Y49-(IF(IF(AND(IFERROR(INDEX('Job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8"),FALSE))))),8,10)))*Y48))+((IF(OR(Y48&lt;=0,NOT(OR(AND(IFERROR(INDEX('Job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8"),FALSE))))),8,10),Y49)*Y48)))-MIN(IF(OR(Y48&lt;=0,NOT(OR(AND(IFERROR(INDEX('Job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setup'!I$7:I$11,0)),"")&gt;=Y$6)))),0,IF(WEEKDAY(Y$6,1)=1,0,MIN(IF(IF(AND(IFERROR(INDEX('Job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8"),FALSE))))),8,10),Y49)*Y48)),MAX(0,40*MAX(1,Y48)-(0)))))</f>
        <v>2</v>
      </c>
      <c r="Z51" s="61">
        <f>IF(AND(Z48=1,Z49=12,AND(IFERROR(INDEX('Job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setup'!I$7:I$11,0)),"")=0))),2,IF(OR(Z48&lt;=0,NOT(OR(AND(IFERROR(INDEX('Job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setup'!I$7:I$11,0)),"")&gt;=Z$6)))),0,IF(WEEKDAY(Z$6,1)=1,0,MAX(0,Z49-(IF(IF(AND(IFERROR(INDEX('Job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8"),FALSE))))),8,10)))*Z48))+((IF(OR(Z48&lt;=0,NOT(OR(AND(IFERROR(INDEX('Job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8"),FALSE))))),8,10),Z49)*Z48)))-MIN(IF(OR(Z48&lt;=0,NOT(OR(AND(IFERROR(INDEX('Job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setup'!I$7:I$11,0)),"")&gt;=Z$6)))),0,IF(WEEKDAY(Z$6,1)=1,0,MIN(IF(IF(AND(IFERROR(INDEX('Job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8"),FALSE))))),8,10),Z49)*Z48)),MAX(0,40*MAX(1,Z48)-(Y50)))))</f>
        <v>2</v>
      </c>
      <c r="AA51" s="61">
        <f>IF(AND(AA48=1,AA49=12,AND(IFERROR(INDEX('Job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setup'!I$7:I$11,0)),"")=0))),2,IF(OR(AA48&lt;=0,NOT(OR(AND(IFERROR(INDEX('Job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setup'!I$7:I$11,0)),"")&gt;=AA$6)))),0,IF(WEEKDAY(AA$6,1)=1,0,MAX(0,AA49-(IF(IF(AND(IFERROR(INDEX('Job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8"),FALSE))))),8,10)))*AA48))+((IF(OR(AA48&lt;=0,NOT(OR(AND(IFERROR(INDEX('Job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8"),FALSE))))),8,10),AA49)*AA48)))-MIN(IF(OR(AA48&lt;=0,NOT(OR(AND(IFERROR(INDEX('Job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setup'!I$7:I$11,0)),"")&gt;=AA$6)))),0,IF(WEEKDAY(AA$6,1)=1,0,MIN(IF(IF(AND(IFERROR(INDEX('Job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8"),FALSE))))),8,10),AA49)*AA48)),MAX(0,40*MAX(1,AA48)-(Y50+Z50)))))</f>
        <v>2</v>
      </c>
      <c r="AB51" s="61">
        <f>IF(AND(AB48=1,AB49=12,AND(IFERROR(INDEX('Job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setup'!I$7:I$11,0)),"")=0))),2,IF(OR(AB48&lt;=0,NOT(OR(AND(IFERROR(INDEX('Job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setup'!I$7:I$11,0)),"")&gt;=AB$6)))),0,IF(WEEKDAY(AB$6,1)=1,0,MAX(0,AB49-(IF(IF(AND(IFERROR(INDEX('Job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8"),FALSE))))),8,10)))*AB48))+((IF(OR(AB48&lt;=0,NOT(OR(AND(IFERROR(INDEX('Job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8"),FALSE))))),8,10),AB49)*AB48)))-MIN(IF(OR(AB48&lt;=0,NOT(OR(AND(IFERROR(INDEX('Job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setup'!I$7:I$11,0)),"")&gt;=AB$6)))),0,IF(WEEKDAY(AB$6,1)=1,0,MIN(IF(IF(AND(IFERROR(INDEX('Job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8"),FALSE))))),8,10),AB49)*AB48)),MAX(0,40*MAX(1,AB48)-(Y50+Z50+AA50)))))</f>
        <v>2</v>
      </c>
      <c r="AC51" s="61">
        <f>IF(AND(AC48=1,AC49=12,AND(IFERROR(INDEX('Job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setup'!I$7:I$11,0)),"")=0))),12,IF(OR(AC48&lt;=0,NOT(OR(AND(IFERROR(INDEX('Job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setup'!I$7:I$11,0)),"")&gt;=AC$6)))),0,IF(WEEKDAY(AC$6,1)=1,0,MAX(0,AC49-(IF(IF(AND(IFERROR(INDEX('Job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8"),FALSE))))),8,10)))*AC48))+((IF(OR(AC48&lt;=0,NOT(OR(AND(IFERROR(INDEX('Job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8"),FALSE))))),8,10),AC49)*AC48)))-MIN(IF(OR(AC48&lt;=0,NOT(OR(AND(IFERROR(INDEX('Job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setup'!I$7:I$11,0)),"")&gt;=AC$6)))),0,IF(WEEKDAY(AC$6,1)=1,0,MIN(IF(IF(AND(IFERROR(INDEX('Job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8"),FALSE))))),8,10),AC49)*AC48)),MAX(0,40*MAX(1,AC48)-(Y50+Z50+AA50+AB50)))))</f>
        <v>12</v>
      </c>
      <c r="AD51" s="62">
        <f>IF(AND(AD48=1,AD49=12,AND(IFERROR(INDEX('Job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setup'!I$7:I$11,0)),"")=0))),12,IF(OR(AD48&lt;=0,NOT(OR(AND(IFERROR(INDEX('Job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setup'!I$7:I$11,0)),"")&gt;=AD$6)))),0,IF(WEEKDAY(AD$6,1)=1,0,MAX(0,AD49-(IF(IF(AND(IFERROR(INDEX('Job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8"),FALSE))))),8,10)))*AD48))+((IF(OR(AD48&lt;=0,NOT(OR(AND(IFERROR(INDEX('Job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8"),FALSE))))),8,10),AD49)*AD48)))-MIN(IF(OR(AD48&lt;=0,NOT(OR(AND(IFERROR(INDEX('Job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setup'!I$7:I$11,0)),"")&gt;=AD$6)))),0,IF(WEEKDAY(AD$6,1)=1,0,MIN(IF(IF(AND(IFERROR(INDEX('Job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8"),FALSE))))),8,10),AD49)*AD48)),MAX(0,40*MAX(1,AD48)-(Y50+Z50+AA50+AB50+AC50)))))</f>
        <v>12</v>
      </c>
      <c r="AE51" s="62">
        <f>IF(AND(AE48=1,AE49=12,AND(IFERROR(INDEX('Job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setup'!I$7:I$11,0)),"")=0))),0,IF(OR(AE48&lt;=0,NOT(OR(AND(IFERROR(INDEX('Job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setup'!I$7:I$11,0)),"")&gt;=AE$6)))),0,IF(WEEKDAY(AE$6,1)=1,0,MAX(0,AE49-(IF(IF(AND(IFERROR(INDEX('Job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8"),FALSE))))),8,10)))*AE48))+((IF(OR(AE48&lt;=0,NOT(OR(AND(IFERROR(INDEX('Job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8"),FALSE))))),8,10),AE49)*AE48)))-MIN(IF(OR(AE48&lt;=0,NOT(OR(AND(IFERROR(INDEX('Job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setup'!I$7:I$11,0)),"")&gt;=AE$6)))),0,IF(WEEKDAY(AE$6,1)=1,0,MIN(IF(IF(AND(IFERROR(INDEX('Job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8"),FALSE))))),8,10),AE49)*AE48)),MAX(0,40*MAX(1,AE48)-(Y50+Z50+AA50+AB50+AC50+AD50)))))</f>
        <v>0</v>
      </c>
      <c r="AF51" s="61">
        <f>IF(AND(AF48=1,AF49=12,AND(IFERROR(INDEX('Job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setup'!I$7:I$11,0)),"")=0))),2,IF(OR(AF48&lt;=0,NOT(OR(AND(IFERROR(INDEX('Job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setup'!I$7:I$11,0)),"")&gt;=AF$6)))),0,IF(WEEKDAY(AF$6,1)=1,0,MAX(0,AF49-(IF(IF(AND(IFERROR(INDEX('Job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8"),FALSE))))),8,10)))*AF48))+((IF(OR(AF48&lt;=0,NOT(OR(AND(IFERROR(INDEX('Job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8"),FALSE))))),8,10),AF49)*AF48)))-MIN(IF(OR(AF48&lt;=0,NOT(OR(AND(IFERROR(INDEX('Job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setup'!I$7:I$11,0)),"")&gt;=AF$6)))),0,IF(WEEKDAY(AF$6,1)=1,0,MIN(IF(IF(AND(IFERROR(INDEX('Job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8"),FALSE))))),8,10),AF49)*AF48)),MAX(0,40*MAX(1,AF48)-(0)))))</f>
        <v>2</v>
      </c>
      <c r="AG51" s="61">
        <f>IF(AND(AG48=1,AG49=12,AND(IFERROR(INDEX('Job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setup'!I$7:I$11,0)),"")=0))),2,IF(OR(AG48&lt;=0,NOT(OR(AND(IFERROR(INDEX('Job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setup'!I$7:I$11,0)),"")&gt;=AG$6)))),0,IF(WEEKDAY(AG$6,1)=1,0,MAX(0,AG49-(IF(IF(AND(IFERROR(INDEX('Job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8"),FALSE))))),8,10)))*AG48))+((IF(OR(AG48&lt;=0,NOT(OR(AND(IFERROR(INDEX('Job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8"),FALSE))))),8,10),AG49)*AG48)))-MIN(IF(OR(AG48&lt;=0,NOT(OR(AND(IFERROR(INDEX('Job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setup'!I$7:I$11,0)),"")&gt;=AG$6)))),0,IF(WEEKDAY(AG$6,1)=1,0,MIN(IF(IF(AND(IFERROR(INDEX('Job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8"),FALSE))))),8,10),AG49)*AG48)),MAX(0,40*MAX(1,AG48)-(AF50)))))</f>
        <v>2</v>
      </c>
      <c r="AH51" s="61">
        <f>IF(AND(AH48=1,AH49=12,AND(IFERROR(INDEX('Job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setup'!I$7:I$11,0)),"")=0))),2,IF(OR(AH48&lt;=0,NOT(OR(AND(IFERROR(INDEX('Job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setup'!I$7:I$11,0)),"")&gt;=AH$6)))),0,IF(WEEKDAY(AH$6,1)=1,0,MAX(0,AH49-(IF(IF(AND(IFERROR(INDEX('Job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8"),FALSE))))),8,10)))*AH48))+((IF(OR(AH48&lt;=0,NOT(OR(AND(IFERROR(INDEX('Job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8"),FALSE))))),8,10),AH49)*AH48)))-MIN(IF(OR(AH48&lt;=0,NOT(OR(AND(IFERROR(INDEX('Job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setup'!I$7:I$11,0)),"")&gt;=AH$6)))),0,IF(WEEKDAY(AH$6,1)=1,0,MIN(IF(IF(AND(IFERROR(INDEX('Job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8"),FALSE))))),8,10),AH49)*AH48)),MAX(0,40*MAX(1,AH48)-(AF50+AG50)))))</f>
        <v>2</v>
      </c>
      <c r="AI51" s="61">
        <f>IF(AND(AI48=0,AI49=0,AND(IFERROR(INDEX('Job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hours")),0,IF(OR(AI48&lt;=0,NOT(OR(AND(IFERROR(INDEX('Job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setup'!I$7:I$11,0)),"")&gt;=AI$6)))),0,IF(WEEKDAY(AI$6,1)=1,0,MAX(0,AI49-(IF(IF(AND(IFERROR(INDEX('Job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8"),FALSE))))),8,10)))*AI48))+((IF(OR(AI48&lt;=0,NOT(OR(AND(IFERROR(INDEX('Job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8"),FALSE))))),8,10),AI49)*AI48)))-MIN(IF(OR(AI48&lt;=0,NOT(OR(AND(IFERROR(INDEX('Job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setup'!I$7:I$11,0)),"")&gt;=AI$6)))),0,IF(WEEKDAY(AI$6,1)=1,0,MIN(IF(IF(AND(IFERROR(INDEX('Job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8"),FALSE))))),8,10),AI49)*AI48)),MAX(0,40*MAX(1,AI48)-(0)))))</f>
        <v>0</v>
      </c>
      <c r="AJ51" s="61">
        <f>IF(AND(AJ48=0,AJ49=0,AND(IFERROR(INDEX('Job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hours")),0,IF(OR(AJ48&lt;=0,NOT(OR(AND(IFERROR(INDEX('Job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setup'!I$7:I$11,0)),"")&gt;=AJ$6)))),0,IF(WEEKDAY(AJ$6,1)=1,0,MAX(0,AJ49-(IF(IF(AND(IFERROR(INDEX('Job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8"),FALSE))))),8,10)))*AJ48))+((IF(OR(AJ48&lt;=0,NOT(OR(AND(IFERROR(INDEX('Job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8"),FALSE))))),8,10),AJ49)*AJ48)))-MIN(IF(OR(AJ48&lt;=0,NOT(OR(AND(IFERROR(INDEX('Job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setup'!I$7:I$11,0)),"")&gt;=AJ$6)))),0,IF(WEEKDAY(AJ$6,1)=1,0,MIN(IF(IF(AND(IFERROR(INDEX('Job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8"),FALSE))))),8,10),AJ49)*AJ48)),MAX(0,40*MAX(1,AJ48)-(AI50)))))</f>
        <v>0</v>
      </c>
      <c r="AK51" s="62">
        <f>IF(AND(AK48=0,AK49=0,AND(IFERROR(INDEX('Job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hours")),0,IF(OR(AK48&lt;=0,NOT(OR(AND(IFERROR(INDEX('Job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setup'!I$7:I$11,0)),"")&gt;=AK$6)))),0,IF(WEEKDAY(AK$6,1)=1,0,MAX(0,AK49-(IF(IF(AND(IFERROR(INDEX('Job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8"),FALSE))))),8,10)))*AK48))+((IF(OR(AK48&lt;=0,NOT(OR(AND(IFERROR(INDEX('Job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8"),FALSE))))),8,10),AK49)*AK48)))-MIN(IF(OR(AK48&lt;=0,NOT(OR(AND(IFERROR(INDEX('Job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setup'!I$7:I$11,0)),"")&gt;=AK$6)))),0,IF(WEEKDAY(AK$6,1)=1,0,MIN(IF(IF(AND(IFERROR(INDEX('Job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8"),FALSE))))),8,10),AK49)*AK48)),MAX(0,40*MAX(1,AK48)-(AI50+AJ50)))))</f>
        <v>0</v>
      </c>
      <c r="AL51" s="62">
        <f>IF(AND(AL48=0,AL49=0,AND(IFERROR(INDEX('Job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hours")),0,IF(OR(AL48&lt;=0,NOT(OR(AND(IFERROR(INDEX('Job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setup'!I$7:I$11,0)),"")&gt;=AL$6)))),0,IF(WEEKDAY(AL$6,1)=1,0,MAX(0,AL49-(IF(IF(AND(IFERROR(INDEX('Job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8"),FALSE))))),8,10)))*AL48))+((IF(OR(AL48&lt;=0,NOT(OR(AND(IFERROR(INDEX('Job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8"),FALSE))))),8,10),AL49)*AL48)))-MIN(IF(OR(AL48&lt;=0,NOT(OR(AND(IFERROR(INDEX('Job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setup'!I$7:I$11,0)),"")&gt;=AL$6)))),0,IF(WEEKDAY(AL$6,1)=1,0,MIN(IF(IF(AND(IFERROR(INDEX('Job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8"),FALSE))))),8,10),AL49)*AL48)),MAX(0,40*MAX(1,AL48)-(AI50+AJ50+AK50)))))</f>
        <v>0</v>
      </c>
      <c r="AM51" s="61">
        <f>IF(AND(AM48=0,AM49=0,AND(IFERROR(INDEX('Job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hours")),0,IF(OR(AM48&lt;=0,NOT(OR(AND(IFERROR(INDEX('Job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setup'!I$7:I$11,0)),"")&gt;=AM$6)))),0,IF(WEEKDAY(AM$6,1)=1,0,MAX(0,AM49-(IF(IF(AND(IFERROR(INDEX('Job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8"),FALSE))))),8,10)))*AM48))+((IF(OR(AM48&lt;=0,NOT(OR(AND(IFERROR(INDEX('Job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8"),FALSE))))),8,10),AM49)*AM48)))-MIN(IF(OR(AM48&lt;=0,NOT(OR(AND(IFERROR(INDEX('Job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setup'!I$7:I$11,0)),"")&gt;=AM$6)))),0,IF(WEEKDAY(AM$6,1)=1,0,MIN(IF(IF(AND(IFERROR(INDEX('Job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8"),FALSE))))),8,10),AM49)*AM48)),MAX(0,40*MAX(1,AM48)-(0)))))</f>
        <v>0</v>
      </c>
      <c r="AN51" s="61">
        <f>IF(AND(AN48=0,AN49=0,AND(IFERROR(INDEX('Job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hours")),0,IF(OR(AN48&lt;=0,NOT(OR(AND(IFERROR(INDEX('Job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setup'!I$7:I$11,0)),"")&gt;=AN$6)))),0,IF(WEEKDAY(AN$6,1)=1,0,MAX(0,AN49-(IF(IF(AND(IFERROR(INDEX('Job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8"),FALSE))))),8,10)))*AN48))+((IF(OR(AN48&lt;=0,NOT(OR(AND(IFERROR(INDEX('Job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8"),FALSE))))),8,10),AN49)*AN48)))-MIN(IF(OR(AN48&lt;=0,NOT(OR(AND(IFERROR(INDEX('Job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setup'!I$7:I$11,0)),"")&gt;=AN$6)))),0,IF(WEEKDAY(AN$6,1)=1,0,MIN(IF(IF(AND(IFERROR(INDEX('Job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8"),FALSE))))),8,10),AN49)*AN48)),MAX(0,40*MAX(1,AN48)-(AM50)))))</f>
        <v>0</v>
      </c>
      <c r="AO51" s="61">
        <f>IF(AND(AO48=0,AO49=0,AND(IFERROR(INDEX('Job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hours")),0,IF(OR(AO48&lt;=0,NOT(OR(AND(IFERROR(INDEX('Job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setup'!I$7:I$11,0)),"")&gt;=AO$6)))),0,IF(WEEKDAY(AO$6,1)=1,0,MAX(0,AO49-(IF(IF(AND(IFERROR(INDEX('Job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8"),FALSE))))),8,10)))*AO48))+((IF(OR(AO48&lt;=0,NOT(OR(AND(IFERROR(INDEX('Job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8"),FALSE))))),8,10),AO49)*AO48)))-MIN(IF(OR(AO48&lt;=0,NOT(OR(AND(IFERROR(INDEX('Job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setup'!I$7:I$11,0)),"")&gt;=AO$6)))),0,IF(WEEKDAY(AO$6,1)=1,0,MIN(IF(IF(AND(IFERROR(INDEX('Job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8"),FALSE))))),8,10),AO49)*AO48)),MAX(0,40*MAX(1,AO48)-(AM50+AN50)))))</f>
        <v>0</v>
      </c>
      <c r="AP51" s="63">
        <f>IF(AND(AP48=0,AP49=0,AND(IFERROR(INDEX('Job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hours")),0,IF(OR(AP48&lt;=0,NOT(OR(AND(IFERROR(INDEX('Job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setup'!I$7:I$11,0)),"")&gt;=AP$6)))),0,IF(WEEKDAY(AP$6,1)=1,0,MAX(0,AP49-(IF(IF(AND(IFERROR(INDEX('Job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8"),FALSE))))),8,10)))*AP48))+((IF(OR(AP48&lt;=0,NOT(OR(AND(IFERROR(INDEX('Job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8"),FALSE))))),8,10),AP49)*AP48)))-MIN(IF(OR(AP48&lt;=0,NOT(OR(AND(IFERROR(INDEX('Job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setup'!I$7:I$11,0)),"")&gt;=AP$6)))),0,IF(WEEKDAY(AP$6,1)=1,0,MIN(IF(IF(AND(IFERROR(INDEX('Job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8"),FALSE))))),8,10),AP49)*AP48)),MAX(0,40*MAX(1,AP48)-(AM50+AN50+AO50)))))</f>
        <v>0</v>
      </c>
      <c r="OU51" s="28" t="s">
        <v>73</v>
      </c>
    </row>
    <row r="52" ht="16" customHeight="1" spans="1:411" x14ac:dyDescent="0.25">
      <c r="A52" s="72"/>
      <c r="B52" s="44"/>
      <c r="C52" s="59">
        <f>H47*N(D52)</f>
        <v>3681.3599999999997</v>
      </c>
      <c r="D52" s="59">
        <f>IF(TRIM(B47)="","No rate",IFERROR(INDEX('Rate Tables'!E$7:E$161,MATCH(B47,'Rate Tables'!A$7:A$161,0)),"No rate"))</f>
        <v>153.39</v>
      </c>
      <c r="E52" s="53" t="s">
        <v>64</v>
      </c>
      <c r="F52" s="47"/>
      <c r="G52" s="47"/>
      <c r="H52" s="47"/>
      <c r="I52" s="47"/>
      <c r="J52" s="48"/>
      <c r="K52" s="60">
        <f>IF(AND(K48=1,K49=8,AND(IFERROR(INDEX('Job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hours")),0,IF(OR(K48&lt;=0,NOT(OR(AND(IFERROR(INDEX('Job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setup'!I$7:I$11,0)),"")&gt;=K$6)))),0,IF(WEEKDAY(K$6,1)=1,K48*K49,0)))</f>
        <v>0</v>
      </c>
      <c r="L52" s="61">
        <f>IF(AND(L48=1,L49=8,AND(IFERROR(INDEX('Job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hours")),0,IF(OR(L48&lt;=0,NOT(OR(AND(IFERROR(INDEX('Job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setup'!I$7:I$11,0)),"")&gt;=L$6)))),0,IF(WEEKDAY(L$6,1)=1,L48*L49,0)))</f>
        <v>0</v>
      </c>
      <c r="M52" s="61">
        <f>IF(AND(M48=1,M49=8,AND(IFERROR(INDEX('Job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hours")),0,IF(OR(M48&lt;=0,NOT(OR(AND(IFERROR(INDEX('Job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setup'!I$7:I$11,0)),"")&gt;=M$6)))),0,IF(WEEKDAY(M$6,1)=1,M48*M49,0)))</f>
        <v>0</v>
      </c>
      <c r="N52" s="61">
        <f>IF(AND(N48=1,N49=8,AND(IFERROR(INDEX('Job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hours")),0,IF(OR(N48&lt;=0,NOT(OR(AND(IFERROR(INDEX('Job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setup'!I$7:I$11,0)),"")&gt;=N$6)))),0,IF(WEEKDAY(N$6,1)=1,N48*N49,0)))</f>
        <v>0</v>
      </c>
      <c r="O52" s="61">
        <f>IF(AND(O48=1,O49=8,AND(IFERROR(INDEX('Job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hours")),0,IF(OR(O48&lt;=0,NOT(OR(AND(IFERROR(INDEX('Job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setup'!I$7:I$11,0)),"")&gt;=O$6)))),0,IF(WEEKDAY(O$6,1)=1,O48*O49,0)))</f>
        <v>0</v>
      </c>
      <c r="P52" s="62">
        <f>IF(AND(P48=0,P49=0,AND(IFERROR(INDEX('Job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hours")),0,IF(OR(P48&lt;=0,NOT(OR(AND(IFERROR(INDEX('Job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setup'!I$7:I$11,0)),"")&gt;=P$6)))),0,IF(WEEKDAY(P$6,1)=1,P48*P49,0)))</f>
        <v>0</v>
      </c>
      <c r="Q52" s="62">
        <f>IF(AND(Q48=0,Q49=0,AND(IFERROR(INDEX('Job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hours")),0,IF(OR(Q48&lt;=0,NOT(OR(AND(IFERROR(INDEX('Job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setup'!I$7:I$11,0)),"")&gt;=Q$6)))),0,IF(WEEKDAY(Q$6,1)=1,Q48*Q49,0)))</f>
        <v>0</v>
      </c>
      <c r="R52" s="61">
        <f>IF(AND(R48=1,R49=8,AND(IFERROR(INDEX('Job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hours")),0,IF(OR(R48&lt;=0,NOT(OR(AND(IFERROR(INDEX('Job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setup'!I$7:I$11,0)),"")&gt;=R$6)))),0,IF(WEEKDAY(R$6,1)=1,R48*R49,0)))</f>
        <v>0</v>
      </c>
      <c r="S52" s="61">
        <f>IF(AND(S48=1,S49=8,AND(IFERROR(INDEX('Job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hours")),0,IF(OR(S48&lt;=0,NOT(OR(AND(IFERROR(INDEX('Job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setup'!I$7:I$11,0)),"")&gt;=S$6)))),0,IF(WEEKDAY(S$6,1)=1,S48*S49,0)))</f>
        <v>0</v>
      </c>
      <c r="T52" s="61">
        <f>IF(AND(T48=1,T49=8,AND(IFERROR(INDEX('Job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hours")),0,IF(OR(T48&lt;=0,NOT(OR(AND(IFERROR(INDEX('Job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setup'!I$7:I$11,0)),"")&gt;=T$6)))),0,IF(WEEKDAY(T$6,1)=1,T48*T49,0)))</f>
        <v>0</v>
      </c>
      <c r="U52" s="61">
        <f>IF(AND(U48=1,U49=12,AND(IFERROR(INDEX('Job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setup'!I$7:I$11,0)),"")=0))),0,IF(OR(U48&lt;=0,NOT(OR(AND(IFERROR(INDEX('Job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setup'!I$7:I$11,0)),"")&gt;=U$6)))),0,IF(WEEKDAY(U$6,1)=1,U48*U49,0)))</f>
        <v>0</v>
      </c>
      <c r="V52" s="61">
        <f>IF(AND(V48=1,V49=12,AND(IFERROR(INDEX('Job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setup'!I$7:I$11,0)),"")=0))),0,IF(OR(V48&lt;=0,NOT(OR(AND(IFERROR(INDEX('Job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setup'!I$7:I$11,0)),"")&gt;=V$6)))),0,IF(WEEKDAY(V$6,1)=1,V48*V49,0)))</f>
        <v>0</v>
      </c>
      <c r="W52" s="62">
        <f>IF(AND(W48=1,W49=12,AND(IFERROR(INDEX('Job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setup'!I$7:I$11,0)),"")=0))),0,IF(OR(W48&lt;=0,NOT(OR(AND(IFERROR(INDEX('Job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setup'!I$7:I$11,0)),"")&gt;=W$6)))),0,IF(WEEKDAY(W$6,1)=1,W48*W49,0)))</f>
        <v>0</v>
      </c>
      <c r="X52" s="62">
        <f>IF(AND(X48=1,X49=12,AND(IFERROR(INDEX('Job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setup'!I$7:I$11,0)),"")=0))),12,IF(OR(X48&lt;=0,NOT(OR(AND(IFERROR(INDEX('Job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setup'!I$7:I$11,0)),"")&gt;=X$6)))),0,IF(WEEKDAY(X$6,1)=1,X48*X49,0)))</f>
        <v>12</v>
      </c>
      <c r="Y52" s="61">
        <f>IF(AND(Y48=1,Y49=12,AND(IFERROR(INDEX('Job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setup'!I$7:I$11,0)),"")=0))),0,IF(OR(Y48&lt;=0,NOT(OR(AND(IFERROR(INDEX('Job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setup'!I$7:I$11,0)),"")&gt;=Y$6)))),0,IF(WEEKDAY(Y$6,1)=1,Y48*Y49,0)))</f>
        <v>0</v>
      </c>
      <c r="Z52" s="61">
        <f>IF(AND(Z48=1,Z49=12,AND(IFERROR(INDEX('Job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setup'!I$7:I$11,0)),"")=0))),0,IF(OR(Z48&lt;=0,NOT(OR(AND(IFERROR(INDEX('Job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setup'!I$7:I$11,0)),"")&gt;=Z$6)))),0,IF(WEEKDAY(Z$6,1)=1,Z48*Z49,0)))</f>
        <v>0</v>
      </c>
      <c r="AA52" s="61">
        <f>IF(AND(AA48=1,AA49=12,AND(IFERROR(INDEX('Job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setup'!I$7:I$11,0)),"")=0))),0,IF(OR(AA48&lt;=0,NOT(OR(AND(IFERROR(INDEX('Job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setup'!I$7:I$11,0)),"")&gt;=AA$6)))),0,IF(WEEKDAY(AA$6,1)=1,AA48*AA49,0)))</f>
        <v>0</v>
      </c>
      <c r="AB52" s="61">
        <f>IF(AND(AB48=1,AB49=12,AND(IFERROR(INDEX('Job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setup'!I$7:I$11,0)),"")=0))),0,IF(OR(AB48&lt;=0,NOT(OR(AND(IFERROR(INDEX('Job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setup'!I$7:I$11,0)),"")&gt;=AB$6)))),0,IF(WEEKDAY(AB$6,1)=1,AB48*AB49,0)))</f>
        <v>0</v>
      </c>
      <c r="AC52" s="61">
        <f>IF(AND(AC48=1,AC49=12,AND(IFERROR(INDEX('Job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setup'!I$7:I$11,0)),"")=0))),0,IF(OR(AC48&lt;=0,NOT(OR(AND(IFERROR(INDEX('Job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setup'!I$7:I$11,0)),"")&gt;=AC$6)))),0,IF(WEEKDAY(AC$6,1)=1,AC48*AC49,0)))</f>
        <v>0</v>
      </c>
      <c r="AD52" s="62">
        <f>IF(AND(AD48=1,AD49=12,AND(IFERROR(INDEX('Job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setup'!I$7:I$11,0)),"")=0))),0,IF(OR(AD48&lt;=0,NOT(OR(AND(IFERROR(INDEX('Job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setup'!I$7:I$11,0)),"")&gt;=AD$6)))),0,IF(WEEKDAY(AD$6,1)=1,AD48*AD49,0)))</f>
        <v>0</v>
      </c>
      <c r="AE52" s="62">
        <f>IF(AND(AE48=1,AE49=12,AND(IFERROR(INDEX('Job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setup'!I$7:I$11,0)),"")=0))),12,IF(OR(AE48&lt;=0,NOT(OR(AND(IFERROR(INDEX('Job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setup'!I$7:I$11,0)),"")&gt;=AE$6)))),0,IF(WEEKDAY(AE$6,1)=1,AE48*AE49,0)))</f>
        <v>12</v>
      </c>
      <c r="AF52" s="61">
        <f>IF(AND(AF48=1,AF49=12,AND(IFERROR(INDEX('Job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setup'!I$7:I$11,0)),"")=0))),0,IF(OR(AF48&lt;=0,NOT(OR(AND(IFERROR(INDEX('Job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setup'!I$7:I$11,0)),"")&gt;=AF$6)))),0,IF(WEEKDAY(AF$6,1)=1,AF48*AF49,0)))</f>
        <v>0</v>
      </c>
      <c r="AG52" s="61">
        <f>IF(AND(AG48=1,AG49=12,AND(IFERROR(INDEX('Job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setup'!I$7:I$11,0)),"")=0))),0,IF(OR(AG48&lt;=0,NOT(OR(AND(IFERROR(INDEX('Job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setup'!I$7:I$11,0)),"")&gt;=AG$6)))),0,IF(WEEKDAY(AG$6,1)=1,AG48*AG49,0)))</f>
        <v>0</v>
      </c>
      <c r="AH52" s="61">
        <f>IF(AND(AH48=1,AH49=12,AND(IFERROR(INDEX('Job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setup'!I$7:I$11,0)),"")=0))),0,IF(OR(AH48&lt;=0,NOT(OR(AND(IFERROR(INDEX('Job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setup'!I$7:I$11,0)),"")&gt;=AH$6)))),0,IF(WEEKDAY(AH$6,1)=1,AH48*AH49,0)))</f>
        <v>0</v>
      </c>
      <c r="AI52" s="61">
        <f>IF(AND(AI48=0,AI49=0,AND(IFERROR(INDEX('Job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hours")),0,IF(OR(AI48&lt;=0,NOT(OR(AND(IFERROR(INDEX('Job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setup'!I$7:I$11,0)),"")&gt;=AI$6)))),0,IF(WEEKDAY(AI$6,1)=1,AI48*AI49,0)))</f>
        <v>0</v>
      </c>
      <c r="AJ52" s="61">
        <f>IF(AND(AJ48=0,AJ49=0,AND(IFERROR(INDEX('Job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hours")),0,IF(OR(AJ48&lt;=0,NOT(OR(AND(IFERROR(INDEX('Job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setup'!I$7:I$11,0)),"")&gt;=AJ$6)))),0,IF(WEEKDAY(AJ$6,1)=1,AJ48*AJ49,0)))</f>
        <v>0</v>
      </c>
      <c r="AK52" s="62">
        <f>IF(AND(AK48=0,AK49=0,AND(IFERROR(INDEX('Job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hours")),0,IF(OR(AK48&lt;=0,NOT(OR(AND(IFERROR(INDEX('Job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setup'!I$7:I$11,0)),"")&gt;=AK$6)))),0,IF(WEEKDAY(AK$6,1)=1,AK48*AK49,0)))</f>
        <v>0</v>
      </c>
      <c r="AL52" s="62">
        <f>IF(AND(AL48=0,AL49=0,AND(IFERROR(INDEX('Job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hours")),0,IF(OR(AL48&lt;=0,NOT(OR(AND(IFERROR(INDEX('Job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setup'!I$7:I$11,0)),"")&gt;=AL$6)))),0,IF(WEEKDAY(AL$6,1)=1,AL48*AL49,0)))</f>
        <v>0</v>
      </c>
      <c r="AM52" s="61">
        <f>IF(AND(AM48=0,AM49=0,AND(IFERROR(INDEX('Job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hours")),0,IF(OR(AM48&lt;=0,NOT(OR(AND(IFERROR(INDEX('Job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setup'!I$7:I$11,0)),"")&gt;=AM$6)))),0,IF(WEEKDAY(AM$6,1)=1,AM48*AM49,0)))</f>
        <v>0</v>
      </c>
      <c r="AN52" s="61">
        <f>IF(AND(AN48=0,AN49=0,AND(IFERROR(INDEX('Job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hours")),0,IF(OR(AN48&lt;=0,NOT(OR(AND(IFERROR(INDEX('Job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setup'!I$7:I$11,0)),"")&gt;=AN$6)))),0,IF(WEEKDAY(AN$6,1)=1,AN48*AN49,0)))</f>
        <v>0</v>
      </c>
      <c r="AO52" s="61">
        <f>IF(AND(AO48=0,AO49=0,AND(IFERROR(INDEX('Job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hours")),0,IF(OR(AO48&lt;=0,NOT(OR(AND(IFERROR(INDEX('Job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setup'!I$7:I$11,0)),"")&gt;=AO$6)))),0,IF(WEEKDAY(AO$6,1)=1,AO48*AO49,0)))</f>
        <v>0</v>
      </c>
      <c r="AP52" s="63">
        <f>IF(AND(AP48=0,AP49=0,AND(IFERROR(INDEX('Job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hours")),0,IF(OR(AP48&lt;=0,NOT(OR(AND(IFERROR(INDEX('Job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setup'!I$7:I$11,0)),"")&gt;=AP$6)))),0,IF(WEEKDAY(AP$6,1)=1,AP48*AP49,0)))</f>
        <v>0</v>
      </c>
      <c r="OU52" s="28" t="s">
        <v>73</v>
      </c>
    </row>
    <row r="53" ht="16" customHeight="1" spans="1:411" x14ac:dyDescent="0.25">
      <c r="A53" s="72"/>
      <c r="B53" s="44"/>
      <c r="C53" s="65">
        <f>I47*D53</f>
        <v>3080</v>
      </c>
      <c r="D53" s="65">
        <v>140</v>
      </c>
      <c r="E53" s="66" t="s">
        <v>65</v>
      </c>
      <c r="F53" s="47"/>
      <c r="G53" s="47"/>
      <c r="H53" s="47"/>
      <c r="I53" s="47"/>
      <c r="J53" s="48"/>
      <c r="K53" s="67">
        <v>1</v>
      </c>
      <c r="L53" s="68">
        <v>1</v>
      </c>
      <c r="M53" s="68">
        <v>1</v>
      </c>
      <c r="N53" s="68">
        <v>1</v>
      </c>
      <c r="O53" s="68">
        <v>1</v>
      </c>
      <c r="P53" s="69">
        <v>0</v>
      </c>
      <c r="Q53" s="69">
        <v>0</v>
      </c>
      <c r="R53" s="68">
        <v>1</v>
      </c>
      <c r="S53" s="68">
        <v>1</v>
      </c>
      <c r="T53" s="68">
        <v>1</v>
      </c>
      <c r="U53" s="68">
        <v>1</v>
      </c>
      <c r="V53" s="68">
        <v>1</v>
      </c>
      <c r="W53" s="69">
        <v>1</v>
      </c>
      <c r="X53" s="69">
        <v>1</v>
      </c>
      <c r="Y53" s="68">
        <v>1</v>
      </c>
      <c r="Z53" s="68">
        <v>1</v>
      </c>
      <c r="AA53" s="68">
        <v>1</v>
      </c>
      <c r="AB53" s="68">
        <v>1</v>
      </c>
      <c r="AC53" s="68">
        <v>1</v>
      </c>
      <c r="AD53" s="69">
        <v>1</v>
      </c>
      <c r="AE53" s="69">
        <v>1</v>
      </c>
      <c r="AF53" s="68">
        <v>1</v>
      </c>
      <c r="AG53" s="68">
        <v>1</v>
      </c>
      <c r="AH53" s="68">
        <v>1</v>
      </c>
      <c r="AI53" s="68">
        <v>0</v>
      </c>
      <c r="AJ53" s="68">
        <v>0</v>
      </c>
      <c r="AK53" s="69">
        <v>0</v>
      </c>
      <c r="AL53" s="69">
        <v>0</v>
      </c>
      <c r="AM53" s="68">
        <v>0</v>
      </c>
      <c r="AN53" s="68">
        <v>0</v>
      </c>
      <c r="AO53" s="68">
        <v>0</v>
      </c>
      <c r="AP53" s="70">
        <v>0</v>
      </c>
      <c r="OU53" s="58" t="s">
        <v>73</v>
      </c>
    </row>
    <row r="54" ht="8" customHeight="1" spans="1:42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</row>
    <row r="55" ht="16" customHeight="1" spans="1:411" x14ac:dyDescent="0.25">
      <c r="A55" s="43" t="s">
        <v>57</v>
      </c>
      <c r="B55" s="44" t="s">
        <v>74</v>
      </c>
      <c r="C55" s="45">
        <f>J55</f>
        <v>36191.68</v>
      </c>
      <c r="D55" s="46"/>
      <c r="E55" s="46"/>
      <c r="F55" s="47">
        <f>SUM(K58:AP58)</f>
        <v>192</v>
      </c>
      <c r="G55" s="47">
        <f>SUM(K59:AP59)</f>
        <v>64</v>
      </c>
      <c r="H55" s="47">
        <f>SUM(K60:AP60)</f>
        <v>24</v>
      </c>
      <c r="I55" s="47">
        <f>SUM(K61:AP61)</f>
        <v>22</v>
      </c>
      <c r="J55" s="48">
        <f>C58+C59+C60</f>
        <v>36191.68</v>
      </c>
      <c r="K55" s="49"/>
      <c r="L55" s="50"/>
      <c r="M55" s="50"/>
      <c r="N55" s="50"/>
      <c r="O55" s="50"/>
      <c r="P55" s="51"/>
      <c r="Q55" s="51"/>
      <c r="R55" s="50"/>
      <c r="S55" s="50"/>
      <c r="T55" s="50"/>
      <c r="U55" s="50"/>
      <c r="V55" s="50"/>
      <c r="W55" s="51"/>
      <c r="X55" s="51"/>
      <c r="Y55" s="50"/>
      <c r="Z55" s="50"/>
      <c r="AA55" s="50"/>
      <c r="AB55" s="50"/>
      <c r="AC55" s="50"/>
      <c r="AD55" s="51"/>
      <c r="AE55" s="51"/>
      <c r="AF55" s="50"/>
      <c r="AG55" s="50"/>
      <c r="AH55" s="50"/>
      <c r="AI55" s="50"/>
      <c r="AJ55" s="50"/>
      <c r="AK55" s="51"/>
      <c r="AL55" s="51"/>
      <c r="AM55" s="50"/>
      <c r="AN55" s="50"/>
      <c r="AO55" s="50"/>
      <c r="AP55" s="52"/>
      <c r="OU55" s="28" t="s">
        <v>75</v>
      </c>
    </row>
    <row r="56" ht="16" customHeight="1" spans="1:411" x14ac:dyDescent="0.25">
      <c r="A56" s="43"/>
      <c r="B56" s="44"/>
      <c r="C56" s="45"/>
      <c r="D56" s="46"/>
      <c r="E56" s="53" t="s">
        <v>60</v>
      </c>
      <c r="F56" s="47"/>
      <c r="G56" s="47"/>
      <c r="H56" s="47"/>
      <c r="I56" s="47"/>
      <c r="J56" s="48"/>
      <c r="K56" s="54">
        <v>1</v>
      </c>
      <c r="L56" s="55">
        <v>1</v>
      </c>
      <c r="M56" s="55">
        <v>1</v>
      </c>
      <c r="N56" s="55">
        <v>1</v>
      </c>
      <c r="O56" s="55">
        <v>1</v>
      </c>
      <c r="P56" s="56">
        <v>0</v>
      </c>
      <c r="Q56" s="56">
        <v>0</v>
      </c>
      <c r="R56" s="55">
        <v>1</v>
      </c>
      <c r="S56" s="55">
        <v>1</v>
      </c>
      <c r="T56" s="55">
        <v>1</v>
      </c>
      <c r="U56" s="55">
        <v>1</v>
      </c>
      <c r="V56" s="55">
        <v>1</v>
      </c>
      <c r="W56" s="56">
        <v>1</v>
      </c>
      <c r="X56" s="56">
        <v>1</v>
      </c>
      <c r="Y56" s="55">
        <v>1</v>
      </c>
      <c r="Z56" s="55">
        <v>1</v>
      </c>
      <c r="AA56" s="55">
        <v>1</v>
      </c>
      <c r="AB56" s="55">
        <v>1</v>
      </c>
      <c r="AC56" s="55">
        <v>1</v>
      </c>
      <c r="AD56" s="56">
        <v>1</v>
      </c>
      <c r="AE56" s="56">
        <v>1</v>
      </c>
      <c r="AF56" s="55">
        <v>1</v>
      </c>
      <c r="AG56" s="55">
        <v>1</v>
      </c>
      <c r="AH56" s="55">
        <v>1</v>
      </c>
      <c r="AI56" s="55">
        <v>1</v>
      </c>
      <c r="AJ56" s="55">
        <v>1</v>
      </c>
      <c r="AK56" s="56">
        <v>0</v>
      </c>
      <c r="AL56" s="56">
        <v>0</v>
      </c>
      <c r="AM56" s="55">
        <v>1</v>
      </c>
      <c r="AN56" s="55">
        <v>1</v>
      </c>
      <c r="AO56" s="55">
        <v>1</v>
      </c>
      <c r="AP56" s="57">
        <v>1</v>
      </c>
      <c r="OU56" s="58" t="s">
        <v>75</v>
      </c>
    </row>
    <row r="57" ht="16" customHeight="1" spans="1:411" x14ac:dyDescent="0.25">
      <c r="A57" s="43"/>
      <c r="B57" s="44"/>
      <c r="C57" s="45"/>
      <c r="D57" s="46"/>
      <c r="E57" s="53" t="s">
        <v>61</v>
      </c>
      <c r="F57" s="47"/>
      <c r="G57" s="47"/>
      <c r="H57" s="47"/>
      <c r="I57" s="47"/>
      <c r="J57" s="48"/>
      <c r="K57" s="54">
        <v>8</v>
      </c>
      <c r="L57" s="55">
        <v>8</v>
      </c>
      <c r="M57" s="55">
        <v>8</v>
      </c>
      <c r="N57" s="55">
        <v>8</v>
      </c>
      <c r="O57" s="55">
        <v>8</v>
      </c>
      <c r="P57" s="56">
        <v>0</v>
      </c>
      <c r="Q57" s="56">
        <v>0</v>
      </c>
      <c r="R57" s="55">
        <v>8</v>
      </c>
      <c r="S57" s="55">
        <v>8</v>
      </c>
      <c r="T57" s="55">
        <v>8</v>
      </c>
      <c r="U57" s="55">
        <v>12</v>
      </c>
      <c r="V57" s="55">
        <v>12</v>
      </c>
      <c r="W57" s="56">
        <v>12</v>
      </c>
      <c r="X57" s="56">
        <v>12</v>
      </c>
      <c r="Y57" s="55">
        <v>12</v>
      </c>
      <c r="Z57" s="55">
        <v>12</v>
      </c>
      <c r="AA57" s="55">
        <v>12</v>
      </c>
      <c r="AB57" s="55">
        <v>12</v>
      </c>
      <c r="AC57" s="55">
        <v>12</v>
      </c>
      <c r="AD57" s="56">
        <v>12</v>
      </c>
      <c r="AE57" s="56">
        <v>12</v>
      </c>
      <c r="AF57" s="55">
        <v>12</v>
      </c>
      <c r="AG57" s="55">
        <v>12</v>
      </c>
      <c r="AH57" s="55">
        <v>12</v>
      </c>
      <c r="AI57" s="55">
        <v>8</v>
      </c>
      <c r="AJ57" s="55">
        <v>8</v>
      </c>
      <c r="AK57" s="56">
        <v>0</v>
      </c>
      <c r="AL57" s="56">
        <v>0</v>
      </c>
      <c r="AM57" s="55">
        <v>8</v>
      </c>
      <c r="AN57" s="55">
        <v>8</v>
      </c>
      <c r="AO57" s="55">
        <v>8</v>
      </c>
      <c r="AP57" s="57">
        <v>8</v>
      </c>
      <c r="OU57" s="58" t="s">
        <v>75</v>
      </c>
    </row>
    <row r="58" ht="16" customHeight="1" spans="1:411" x14ac:dyDescent="0.25">
      <c r="A58" s="43"/>
      <c r="B58" s="44"/>
      <c r="C58" s="59">
        <f>F55*N(D58)</f>
        <v>21354.239999999998</v>
      </c>
      <c r="D58" s="59">
        <f>IF(TRIM(B55)="","No rate",IFERROR(INDEX('Rate Tables'!C$7:C$161,MATCH(B55,'Rate Tables'!A$7:A$161,0)),"No rate"))</f>
        <v>111.22</v>
      </c>
      <c r="E58" s="53" t="s">
        <v>62</v>
      </c>
      <c r="F58" s="47"/>
      <c r="G58" s="47"/>
      <c r="H58" s="47"/>
      <c r="I58" s="47"/>
      <c r="J58" s="48"/>
      <c r="K58" s="60">
        <f>IF(AND(K56=1,K57=8,AND(IFERROR(INDEX('Job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hours")),8,MIN(IF(OR(K56&lt;=0,NOT(OR(AND(IFERROR(INDEX('Job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8"),FALSE))))),MIN(8,K57)*K56,K56*K57)))),MAX(0,40*MAX(1,K56)-(0))))</f>
        <v>8</v>
      </c>
      <c r="L58" s="61">
        <f>IF(AND(L56=1,L57=8,AND(IFERROR(INDEX('Job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hours")),8,MIN(IF(OR(L56&lt;=0,NOT(OR(AND(IFERROR(INDEX('Job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8"),FALSE))))),MIN(8,L57)*L56,L56*L57)))),MAX(0,40*MAX(1,L56)-(K58))))</f>
        <v>8</v>
      </c>
      <c r="M58" s="61">
        <f>IF(AND(M56=1,M57=8,AND(IFERROR(INDEX('Job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hours")),8,MIN(IF(OR(M56&lt;=0,NOT(OR(AND(IFERROR(INDEX('Job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8"),FALSE))))),MIN(8,M57)*M56,M56*M57)))),MAX(0,40*MAX(1,M56)-(K58+L58))))</f>
        <v>8</v>
      </c>
      <c r="N58" s="61">
        <f>IF(AND(N56=1,N57=8,AND(IFERROR(INDEX('Job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hours")),8,MIN(IF(OR(N56&lt;=0,NOT(OR(AND(IFERROR(INDEX('Job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8"),FALSE))))),MIN(8,N57)*N56,N56*N57)))),MAX(0,40*MAX(1,N56)-(K58+L58+M58))))</f>
        <v>8</v>
      </c>
      <c r="O58" s="61">
        <f>IF(AND(O56=1,O57=8,AND(IFERROR(INDEX('Job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hours")),8,MIN(IF(OR(O56&lt;=0,NOT(OR(AND(IFERROR(INDEX('Job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8"),FALSE))))),MIN(8,O57)*O56,O56*O57)))),MAX(0,40*MAX(1,O56)-(K58+L58+M58+N58))))</f>
        <v>8</v>
      </c>
      <c r="P58" s="62">
        <f>IF(AND(P56=0,P57=0,AND(IFERROR(INDEX('Job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hours")),0,MIN(IF(OR(P56&lt;=0,NOT(OR(AND(IFERROR(INDEX('Job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8"),FALSE))))),MIN(8,P57)*P56,P56*P57)))),MAX(0,40*MAX(1,P56)-(0))))</f>
        <v>0</v>
      </c>
      <c r="Q58" s="62">
        <f>IF(AND(Q56=0,Q57=0,AND(IFERROR(INDEX('Job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hours")),0,MIN(IF(OR(Q56&lt;=0,NOT(OR(AND(IFERROR(INDEX('Job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8"),FALSE))))),MIN(8,Q57)*Q56,Q56*Q57)))),MAX(0,40*MAX(1,Q56)-(P58))))</f>
        <v>0</v>
      </c>
      <c r="R58" s="61">
        <f>IF(AND(R56=1,R57=8,AND(IFERROR(INDEX('Job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hours")),8,MIN(IF(OR(R56&lt;=0,NOT(OR(AND(IFERROR(INDEX('Job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8"),FALSE))))),MIN(8,R57)*R56,R56*R57)))),MAX(0,40*MAX(1,R56)-(0))))</f>
        <v>8</v>
      </c>
      <c r="S58" s="61">
        <f>IF(AND(S56=1,S57=8,AND(IFERROR(INDEX('Job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hours")),8,MIN(IF(OR(S56&lt;=0,NOT(OR(AND(IFERROR(INDEX('Job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8"),FALSE))))),MIN(8,S57)*S56,S56*S57)))),MAX(0,40*MAX(1,S56)-(R58))))</f>
        <v>8</v>
      </c>
      <c r="T58" s="61">
        <f>IF(AND(T56=1,T57=8,AND(IFERROR(INDEX('Job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hours")),8,MIN(IF(OR(T56&lt;=0,NOT(OR(AND(IFERROR(INDEX('Job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8"),FALSE))))),MIN(8,T57)*T56,T56*T57)))),MAX(0,40*MAX(1,T56)-(R58+S58))))</f>
        <v>8</v>
      </c>
      <c r="U58" s="61">
        <f>IF(AND(U56=1,U57=12,AND(IFERROR(INDEX('Job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setup'!I$7:I$11,0)),"")=0))),8,MIN(IF(OR(U56&lt;=0,NOT(OR(AND(IFERROR(INDEX('Job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8"),FALSE))))),MIN(8,U57)*U56,U56*U57)))),MAX(0,40*MAX(1,U56)-(0))))</f>
        <v>8</v>
      </c>
      <c r="V58" s="61">
        <f>IF(AND(V56=1,V57=12,AND(IFERROR(INDEX('Job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setup'!I$7:I$11,0)),"")=0))),8,MIN(IF(OR(V56&lt;=0,NOT(OR(AND(IFERROR(INDEX('Job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8"),FALSE))))),MIN(8,V57)*V56,V56*V57)))),MAX(0,40*MAX(1,V56)-(U58))))</f>
        <v>8</v>
      </c>
      <c r="W58" s="62">
        <f>IF(AND(W56=1,W57=12,AND(IFERROR(INDEX('Job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setup'!I$7:I$11,0)),"")=0))),0,MIN(IF(OR(W56&lt;=0,NOT(OR(AND(IFERROR(INDEX('Job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8"),FALSE))))),MIN(8,W57)*W56,W56*W57)))),MAX(0,40*MAX(1,W56)-(U58+V58))))</f>
        <v>0</v>
      </c>
      <c r="X58" s="62">
        <f>IF(AND(X56=1,X57=12,AND(IFERROR(INDEX('Job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setup'!I$7:I$11,0)),"")=0))),0,MIN(IF(OR(X56&lt;=0,NOT(OR(AND(IFERROR(INDEX('Job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8"),FALSE))))),MIN(8,X57)*X56,X56*X57)))),MAX(0,40*MAX(1,X56)-(U58+V58+W58))))</f>
        <v>0</v>
      </c>
      <c r="Y58" s="61">
        <f>IF(AND(Y56=1,Y57=12,AND(IFERROR(INDEX('Job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setup'!I$7:I$11,0)),"")=0))),8,MIN(IF(OR(Y56&lt;=0,NOT(OR(AND(IFERROR(INDEX('Job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8"),FALSE))))),MIN(8,Y57)*Y56,Y56*Y57)))),MAX(0,40*MAX(1,Y56)-(0))))</f>
        <v>8</v>
      </c>
      <c r="Z58" s="61">
        <f>IF(AND(Z56=1,Z57=12,AND(IFERROR(INDEX('Job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setup'!I$7:I$11,0)),"")=0))),8,MIN(IF(OR(Z56&lt;=0,NOT(OR(AND(IFERROR(INDEX('Job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8"),FALSE))))),MIN(8,Z57)*Z56,Z56*Z57)))),MAX(0,40*MAX(1,Z56)-(Y58))))</f>
        <v>8</v>
      </c>
      <c r="AA58" s="61">
        <f>IF(AND(AA56=1,AA57=12,AND(IFERROR(INDEX('Job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setup'!I$7:I$11,0)),"")=0))),8,MIN(IF(OR(AA56&lt;=0,NOT(OR(AND(IFERROR(INDEX('Job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8"),FALSE))))),MIN(8,AA57)*AA56,AA56*AA57)))),MAX(0,40*MAX(1,AA56)-(Y58+Z58))))</f>
        <v>8</v>
      </c>
      <c r="AB58" s="61">
        <f>IF(AND(AB56=1,AB57=12,AND(IFERROR(INDEX('Job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setup'!I$7:I$11,0)),"")=0))),8,MIN(IF(OR(AB56&lt;=0,NOT(OR(AND(IFERROR(INDEX('Job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8"),FALSE))))),MIN(8,AB57)*AB56,AB56*AB57)))),MAX(0,40*MAX(1,AB56)-(Y58+Z58+AA58))))</f>
        <v>8</v>
      </c>
      <c r="AC58" s="61">
        <f>IF(AND(AC56=1,AC57=12,AND(IFERROR(INDEX('Job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setup'!I$7:I$11,0)),"")=0))),8,MIN(IF(OR(AC56&lt;=0,NOT(OR(AND(IFERROR(INDEX('Job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8"),FALSE))))),MIN(8,AC57)*AC56,AC56*AC57)))),MAX(0,40*MAX(1,AC56)-(Y58+Z58+AA58+AB58))))</f>
        <v>8</v>
      </c>
      <c r="AD58" s="62">
        <f>IF(AND(AD56=1,AD57=12,AND(IFERROR(INDEX('Job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setup'!I$7:I$11,0)),"")=0))),0,MIN(IF(OR(AD56&lt;=0,NOT(OR(AND(IFERROR(INDEX('Job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8"),FALSE))))),MIN(8,AD57)*AD56,AD56*AD57)))),MAX(0,40*MAX(1,AD56)-(Y58+Z58+AA58+AB58+AC58))))</f>
        <v>0</v>
      </c>
      <c r="AE58" s="62">
        <f>IF(AND(AE56=1,AE57=12,AND(IFERROR(INDEX('Job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setup'!I$7:I$11,0)),"")=0))),0,MIN(IF(OR(AE56&lt;=0,NOT(OR(AND(IFERROR(INDEX('Job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8"),FALSE))))),MIN(8,AE57)*AE56,AE56*AE57)))),MAX(0,40*MAX(1,AE56)-(Y58+Z58+AA58+AB58+AC58+AD58))))</f>
        <v>0</v>
      </c>
      <c r="AF58" s="61">
        <f>IF(AND(AF56=1,AF57=12,AND(IFERROR(INDEX('Job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setup'!I$7:I$11,0)),"")=0))),8,MIN(IF(OR(AF56&lt;=0,NOT(OR(AND(IFERROR(INDEX('Job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8"),FALSE))))),MIN(8,AF57)*AF56,AF56*AF57)))),MAX(0,40*MAX(1,AF56)-(0))))</f>
        <v>8</v>
      </c>
      <c r="AG58" s="61">
        <f>IF(AND(AG56=1,AG57=12,AND(IFERROR(INDEX('Job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setup'!I$7:I$11,0)),"")=0))),8,MIN(IF(OR(AG56&lt;=0,NOT(OR(AND(IFERROR(INDEX('Job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8"),FALSE))))),MIN(8,AG57)*AG56,AG56*AG57)))),MAX(0,40*MAX(1,AG56)-(AF58))))</f>
        <v>8</v>
      </c>
      <c r="AH58" s="61">
        <f>IF(AND(AH56=1,AH57=12,AND(IFERROR(INDEX('Job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setup'!I$7:I$11,0)),"")=0))),8,MIN(IF(OR(AH56&lt;=0,NOT(OR(AND(IFERROR(INDEX('Job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8"),FALSE))))),MIN(8,AH57)*AH56,AH56*AH57)))),MAX(0,40*MAX(1,AH56)-(AF58+AG58))))</f>
        <v>8</v>
      </c>
      <c r="AI58" s="61">
        <f>IF(AND(AI56=1,AI57=8,AND(IFERROR(INDEX('Job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hours")),8,MIN(IF(OR(AI56&lt;=0,NOT(OR(AND(IFERROR(INDEX('Job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8"),FALSE))))),MIN(8,AI57)*AI56,AI56*AI57)))),MAX(0,40*MAX(1,AI56)-(0))))</f>
        <v>8</v>
      </c>
      <c r="AJ58" s="61">
        <f>IF(AND(AJ56=1,AJ57=8,AND(IFERROR(INDEX('Job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hours")),8,MIN(IF(OR(AJ56&lt;=0,NOT(OR(AND(IFERROR(INDEX('Job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8"),FALSE))))),MIN(8,AJ57)*AJ56,AJ56*AJ57)))),MAX(0,40*MAX(1,AJ56)-(AI58))))</f>
        <v>8</v>
      </c>
      <c r="AK58" s="62">
        <f>IF(AND(AK56=0,AK57=0,AND(IFERROR(INDEX('Job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hours")),0,MIN(IF(OR(AK56&lt;=0,NOT(OR(AND(IFERROR(INDEX('Job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8"),FALSE))))),MIN(8,AK57)*AK56,AK56*AK57)))),MAX(0,40*MAX(1,AK56)-(0))))</f>
        <v>0</v>
      </c>
      <c r="AL58" s="62">
        <f>IF(AND(AL56=0,AL57=0,AND(IFERROR(INDEX('Job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hours")),0,MIN(IF(OR(AL56&lt;=0,NOT(OR(AND(IFERROR(INDEX('Job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8"),FALSE))))),MIN(8,AL57)*AL56,AL56*AL57)))),MAX(0,40*MAX(1,AL56)-(AK58))))</f>
        <v>0</v>
      </c>
      <c r="AM58" s="61">
        <f>IF(AND(AM56=1,AM57=8,AND(IFERROR(INDEX('Job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hours")),8,MIN(IF(OR(AM56&lt;=0,NOT(OR(AND(IFERROR(INDEX('Job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8"),FALSE))))),MIN(8,AM57)*AM56,AM56*AM57)))),MAX(0,40*MAX(1,AM56)-(0))))</f>
        <v>8</v>
      </c>
      <c r="AN58" s="61">
        <f>IF(AND(AN56=1,AN57=8,AND(IFERROR(INDEX('Job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hours")),8,MIN(IF(OR(AN56&lt;=0,NOT(OR(AND(IFERROR(INDEX('Job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8"),FALSE))))),MIN(8,AN57)*AN56,AN56*AN57)))),MAX(0,40*MAX(1,AN56)-(AM58))))</f>
        <v>8</v>
      </c>
      <c r="AO58" s="61">
        <f>IF(AND(AO56=1,AO57=8,AND(IFERROR(INDEX('Job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hours")),8,MIN(IF(OR(AO56&lt;=0,NOT(OR(AND(IFERROR(INDEX('Job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8"),FALSE))))),MIN(8,AO57)*AO56,AO56*AO57)))),MAX(0,40*MAX(1,AO56)-(AM58+AN58))))</f>
        <v>8</v>
      </c>
      <c r="AP58" s="63">
        <f>IF(AND(AP56=1,AP57=8,AND(IFERROR(INDEX('Job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hours")),8,MIN(IF(OR(AP56&lt;=0,NOT(OR(AND(IFERROR(INDEX('Job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8"),FALSE))))),MIN(8,AP57)*AP56,AP56*AP57)))),MAX(0,40*MAX(1,AP56)-(AM58+AN58+AO58))))</f>
        <v>8</v>
      </c>
      <c r="OU58" s="28" t="s">
        <v>75</v>
      </c>
    </row>
    <row r="59" ht="16" customHeight="1" spans="1:411" x14ac:dyDescent="0.25">
      <c r="A59" s="43"/>
      <c r="B59" s="44"/>
      <c r="C59" s="64">
        <f>G55*N(D59)</f>
        <v>10003.84</v>
      </c>
      <c r="D59" s="64">
        <f>IF(TRIM(B55)="","No rate",IFERROR(INDEX('Rate Tables'!D$7:D$161,MATCH(B55,'Rate Tables'!A$7:A$161,0)),"No rate"))</f>
        <v>156.31</v>
      </c>
      <c r="E59" s="53" t="s">
        <v>63</v>
      </c>
      <c r="F59" s="47"/>
      <c r="G59" s="47"/>
      <c r="H59" s="47"/>
      <c r="I59" s="47"/>
      <c r="J59" s="48"/>
      <c r="K59" s="60">
        <f>IF(AND(K56=1,K57=8,AND(IFERROR(INDEX('Job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hours")),0,IF(OR(K56&lt;=0,NOT(OR(AND(IFERROR(INDEX('Job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setup'!I$7:I$11,0)),"")&gt;=K$6)))),0,IF(WEEKDAY(K$6,1)=1,0,IF(WEEKDAY(K$6,1)=7,K56*K57,IF(IF(AND(IFERROR(INDEX('Job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8"),FALSE))))),MAX(0,K57-8)*K56,0))))+((IF(OR(K56&lt;=0,NOT(OR(AND(IFERROR(INDEX('Job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8"),FALSE))))),MIN(8,K57)*K56,K56*K57)))))-MIN(IF(OR(K56&lt;=0,NOT(OR(AND(IFERROR(INDEX('Job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8"),FALSE))))),MIN(8,K57)*K56,K56*K57)))),MAX(0,40*MAX(1,K56)-(0)))))</f>
        <v>0</v>
      </c>
      <c r="L59" s="61">
        <f>IF(AND(L56=1,L57=8,AND(IFERROR(INDEX('Job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hours")),0,IF(OR(L56&lt;=0,NOT(OR(AND(IFERROR(INDEX('Job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setup'!I$7:I$11,0)),"")&gt;=L$6)))),0,IF(WEEKDAY(L$6,1)=1,0,IF(WEEKDAY(L$6,1)=7,L56*L57,IF(IF(AND(IFERROR(INDEX('Job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8"),FALSE))))),MAX(0,L57-8)*L56,0))))+((IF(OR(L56&lt;=0,NOT(OR(AND(IFERROR(INDEX('Job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8"),FALSE))))),MIN(8,L57)*L56,L56*L57)))))-MIN(IF(OR(L56&lt;=0,NOT(OR(AND(IFERROR(INDEX('Job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8"),FALSE))))),MIN(8,L57)*L56,L56*L57)))),MAX(0,40*MAX(1,L56)-(K58)))))</f>
        <v>0</v>
      </c>
      <c r="M59" s="61">
        <f>IF(AND(M56=1,M57=8,AND(IFERROR(INDEX('Job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hours")),0,IF(OR(M56&lt;=0,NOT(OR(AND(IFERROR(INDEX('Job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setup'!I$7:I$11,0)),"")&gt;=M$6)))),0,IF(WEEKDAY(M$6,1)=1,0,IF(WEEKDAY(M$6,1)=7,M56*M57,IF(IF(AND(IFERROR(INDEX('Job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8"),FALSE))))),MAX(0,M57-8)*M56,0))))+((IF(OR(M56&lt;=0,NOT(OR(AND(IFERROR(INDEX('Job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8"),FALSE))))),MIN(8,M57)*M56,M56*M57)))))-MIN(IF(OR(M56&lt;=0,NOT(OR(AND(IFERROR(INDEX('Job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8"),FALSE))))),MIN(8,M57)*M56,M56*M57)))),MAX(0,40*MAX(1,M56)-(K58+L58)))))</f>
        <v>0</v>
      </c>
      <c r="N59" s="61">
        <f>IF(AND(N56=1,N57=8,AND(IFERROR(INDEX('Job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hours")),0,IF(OR(N56&lt;=0,NOT(OR(AND(IFERROR(INDEX('Job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setup'!I$7:I$11,0)),"")&gt;=N$6)))),0,IF(WEEKDAY(N$6,1)=1,0,IF(WEEKDAY(N$6,1)=7,N56*N57,IF(IF(AND(IFERROR(INDEX('Job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8"),FALSE))))),MAX(0,N57-8)*N56,0))))+((IF(OR(N56&lt;=0,NOT(OR(AND(IFERROR(INDEX('Job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8"),FALSE))))),MIN(8,N57)*N56,N56*N57)))))-MIN(IF(OR(N56&lt;=0,NOT(OR(AND(IFERROR(INDEX('Job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8"),FALSE))))),MIN(8,N57)*N56,N56*N57)))),MAX(0,40*MAX(1,N56)-(K58+L58+M58)))))</f>
        <v>0</v>
      </c>
      <c r="O59" s="61">
        <f>IF(AND(O56=1,O57=8,AND(IFERROR(INDEX('Job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hours")),0,IF(OR(O56&lt;=0,NOT(OR(AND(IFERROR(INDEX('Job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setup'!I$7:I$11,0)),"")&gt;=O$6)))),0,IF(WEEKDAY(O$6,1)=1,0,IF(WEEKDAY(O$6,1)=7,O56*O57,IF(IF(AND(IFERROR(INDEX('Job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8"),FALSE))))),MAX(0,O57-8)*O56,0))))+((IF(OR(O56&lt;=0,NOT(OR(AND(IFERROR(INDEX('Job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8"),FALSE))))),MIN(8,O57)*O56,O56*O57)))))-MIN(IF(OR(O56&lt;=0,NOT(OR(AND(IFERROR(INDEX('Job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8"),FALSE))))),MIN(8,O57)*O56,O56*O57)))),MAX(0,40*MAX(1,O56)-(K58+L58+M58+N58)))))</f>
        <v>0</v>
      </c>
      <c r="P59" s="62">
        <f>IF(AND(P56=0,P57=0,AND(IFERROR(INDEX('Job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hours")),0,IF(OR(P56&lt;=0,NOT(OR(AND(IFERROR(INDEX('Job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setup'!I$7:I$11,0)),"")&gt;=P$6)))),0,IF(WEEKDAY(P$6,1)=1,0,IF(WEEKDAY(P$6,1)=7,P56*P57,IF(IF(AND(IFERROR(INDEX('Job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8"),FALSE))))),MAX(0,P57-8)*P56,0))))+((IF(OR(P56&lt;=0,NOT(OR(AND(IFERROR(INDEX('Job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8"),FALSE))))),MIN(8,P57)*P56,P56*P57)))))-MIN(IF(OR(P56&lt;=0,NOT(OR(AND(IFERROR(INDEX('Job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8"),FALSE))))),MIN(8,P57)*P56,P56*P57)))),MAX(0,40*MAX(1,P56)-(0)))))</f>
        <v>0</v>
      </c>
      <c r="Q59" s="62">
        <f>IF(AND(Q56=0,Q57=0,AND(IFERROR(INDEX('Job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hours")),0,IF(OR(Q56&lt;=0,NOT(OR(AND(IFERROR(INDEX('Job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setup'!I$7:I$11,0)),"")&gt;=Q$6)))),0,IF(WEEKDAY(Q$6,1)=1,0,IF(WEEKDAY(Q$6,1)=7,Q56*Q57,IF(IF(AND(IFERROR(INDEX('Job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8"),FALSE))))),MAX(0,Q57-8)*Q56,0))))+((IF(OR(Q56&lt;=0,NOT(OR(AND(IFERROR(INDEX('Job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8"),FALSE))))),MIN(8,Q57)*Q56,Q56*Q57)))))-MIN(IF(OR(Q56&lt;=0,NOT(OR(AND(IFERROR(INDEX('Job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8"),FALSE))))),MIN(8,Q57)*Q56,Q56*Q57)))),MAX(0,40*MAX(1,Q56)-(P58)))))</f>
        <v>0</v>
      </c>
      <c r="R59" s="61">
        <f>IF(AND(R56=1,R57=8,AND(IFERROR(INDEX('Job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hours")),0,IF(OR(R56&lt;=0,NOT(OR(AND(IFERROR(INDEX('Job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setup'!I$7:I$11,0)),"")&gt;=R$6)))),0,IF(WEEKDAY(R$6,1)=1,0,IF(WEEKDAY(R$6,1)=7,R56*R57,IF(IF(AND(IFERROR(INDEX('Job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8"),FALSE))))),MAX(0,R57-8)*R56,0))))+((IF(OR(R56&lt;=0,NOT(OR(AND(IFERROR(INDEX('Job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8"),FALSE))))),MIN(8,R57)*R56,R56*R57)))))-MIN(IF(OR(R56&lt;=0,NOT(OR(AND(IFERROR(INDEX('Job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8"),FALSE))))),MIN(8,R57)*R56,R56*R57)))),MAX(0,40*MAX(1,R56)-(0)))))</f>
        <v>0</v>
      </c>
      <c r="S59" s="61">
        <f>IF(AND(S56=1,S57=8,AND(IFERROR(INDEX('Job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hours")),0,IF(OR(S56&lt;=0,NOT(OR(AND(IFERROR(INDEX('Job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setup'!I$7:I$11,0)),"")&gt;=S$6)))),0,IF(WEEKDAY(S$6,1)=1,0,IF(WEEKDAY(S$6,1)=7,S56*S57,IF(IF(AND(IFERROR(INDEX('Job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8"),FALSE))))),MAX(0,S57-8)*S56,0))))+((IF(OR(S56&lt;=0,NOT(OR(AND(IFERROR(INDEX('Job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8"),FALSE))))),MIN(8,S57)*S56,S56*S57)))))-MIN(IF(OR(S56&lt;=0,NOT(OR(AND(IFERROR(INDEX('Job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8"),FALSE))))),MIN(8,S57)*S56,S56*S57)))),MAX(0,40*MAX(1,S56)-(R58)))))</f>
        <v>0</v>
      </c>
      <c r="T59" s="61">
        <f>IF(AND(T56=1,T57=8,AND(IFERROR(INDEX('Job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hours")),0,IF(OR(T56&lt;=0,NOT(OR(AND(IFERROR(INDEX('Job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setup'!I$7:I$11,0)),"")&gt;=T$6)))),0,IF(WEEKDAY(T$6,1)=1,0,IF(WEEKDAY(T$6,1)=7,T56*T57,IF(IF(AND(IFERROR(INDEX('Job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8"),FALSE))))),MAX(0,T57-8)*T56,0))))+((IF(OR(T56&lt;=0,NOT(OR(AND(IFERROR(INDEX('Job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8"),FALSE))))),MIN(8,T57)*T56,T56*T57)))))-MIN(IF(OR(T56&lt;=0,NOT(OR(AND(IFERROR(INDEX('Job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8"),FALSE))))),MIN(8,T57)*T56,T56*T57)))),MAX(0,40*MAX(1,T56)-(R58+S58)))))</f>
        <v>0</v>
      </c>
      <c r="U59" s="61">
        <f>IF(AND(U56=1,U57=12,AND(IFERROR(INDEX('Job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setup'!I$7:I$11,0)),"")=0))),4,IF(OR(U56&lt;=0,NOT(OR(AND(IFERROR(INDEX('Job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setup'!I$7:I$11,0)),"")&gt;=U$6)))),0,IF(WEEKDAY(U$6,1)=1,0,IF(WEEKDAY(U$6,1)=7,U56*U57,IF(IF(AND(IFERROR(INDEX('Job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8"),FALSE))))),MAX(0,U57-8)*U56,0))))+((IF(OR(U56&lt;=0,NOT(OR(AND(IFERROR(INDEX('Job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8"),FALSE))))),MIN(8,U57)*U56,U56*U57)))))-MIN(IF(OR(U56&lt;=0,NOT(OR(AND(IFERROR(INDEX('Job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8"),FALSE))))),MIN(8,U57)*U56,U56*U57)))),MAX(0,40*MAX(1,U56)-(0)))))</f>
        <v>4</v>
      </c>
      <c r="V59" s="61">
        <f>IF(AND(V56=1,V57=12,AND(IFERROR(INDEX('Job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setup'!I$7:I$11,0)),"")=0))),4,IF(OR(V56&lt;=0,NOT(OR(AND(IFERROR(INDEX('Job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setup'!I$7:I$11,0)),"")&gt;=V$6)))),0,IF(WEEKDAY(V$6,1)=1,0,IF(WEEKDAY(V$6,1)=7,V56*V57,IF(IF(AND(IFERROR(INDEX('Job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8"),FALSE))))),MAX(0,V57-8)*V56,0))))+((IF(OR(V56&lt;=0,NOT(OR(AND(IFERROR(INDEX('Job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8"),FALSE))))),MIN(8,V57)*V56,V56*V57)))))-MIN(IF(OR(V56&lt;=0,NOT(OR(AND(IFERROR(INDEX('Job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8"),FALSE))))),MIN(8,V57)*V56,V56*V57)))),MAX(0,40*MAX(1,V56)-(U58)))))</f>
        <v>4</v>
      </c>
      <c r="W59" s="62">
        <f>IF(AND(W56=1,W57=12,AND(IFERROR(INDEX('Job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setup'!I$7:I$11,0)),"")=0))),12,IF(OR(W56&lt;=0,NOT(OR(AND(IFERROR(INDEX('Job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setup'!I$7:I$11,0)),"")&gt;=W$6)))),0,IF(WEEKDAY(W$6,1)=1,0,IF(WEEKDAY(W$6,1)=7,W56*W57,IF(IF(AND(IFERROR(INDEX('Job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8"),FALSE))))),MAX(0,W57-8)*W56,0))))+((IF(OR(W56&lt;=0,NOT(OR(AND(IFERROR(INDEX('Job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8"),FALSE))))),MIN(8,W57)*W56,W56*W57)))))-MIN(IF(OR(W56&lt;=0,NOT(OR(AND(IFERROR(INDEX('Job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8"),FALSE))))),MIN(8,W57)*W56,W56*W57)))),MAX(0,40*MAX(1,W56)-(U58+V58)))))</f>
        <v>12</v>
      </c>
      <c r="X59" s="62">
        <f>IF(AND(X56=1,X57=12,AND(IFERROR(INDEX('Job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setup'!I$7:I$11,0)),"")=0))),0,IF(OR(X56&lt;=0,NOT(OR(AND(IFERROR(INDEX('Job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setup'!I$7:I$11,0)),"")&gt;=X$6)))),0,IF(WEEKDAY(X$6,1)=1,0,IF(WEEKDAY(X$6,1)=7,X56*X57,IF(IF(AND(IFERROR(INDEX('Job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8"),FALSE))))),MAX(0,X57-8)*X56,0))))+((IF(OR(X56&lt;=0,NOT(OR(AND(IFERROR(INDEX('Job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8"),FALSE))))),MIN(8,X57)*X56,X56*X57)))))-MIN(IF(OR(X56&lt;=0,NOT(OR(AND(IFERROR(INDEX('Job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8"),FALSE))))),MIN(8,X57)*X56,X56*X57)))),MAX(0,40*MAX(1,X56)-(U58+V58+W58)))))</f>
        <v>0</v>
      </c>
      <c r="Y59" s="61">
        <f>IF(AND(Y56=1,Y57=12,AND(IFERROR(INDEX('Job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setup'!I$7:I$11,0)),"")=0))),4,IF(OR(Y56&lt;=0,NOT(OR(AND(IFERROR(INDEX('Job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setup'!I$7:I$11,0)),"")&gt;=Y$6)))),0,IF(WEEKDAY(Y$6,1)=1,0,IF(WEEKDAY(Y$6,1)=7,Y56*Y57,IF(IF(AND(IFERROR(INDEX('Job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8"),FALSE))))),MAX(0,Y57-8)*Y56,0))))+((IF(OR(Y56&lt;=0,NOT(OR(AND(IFERROR(INDEX('Job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8"),FALSE))))),MIN(8,Y57)*Y56,Y56*Y57)))))-MIN(IF(OR(Y56&lt;=0,NOT(OR(AND(IFERROR(INDEX('Job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8"),FALSE))))),MIN(8,Y57)*Y56,Y56*Y57)))),MAX(0,40*MAX(1,Y56)-(0)))))</f>
        <v>4</v>
      </c>
      <c r="Z59" s="61">
        <f>IF(AND(Z56=1,Z57=12,AND(IFERROR(INDEX('Job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setup'!I$7:I$11,0)),"")=0))),4,IF(OR(Z56&lt;=0,NOT(OR(AND(IFERROR(INDEX('Job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setup'!I$7:I$11,0)),"")&gt;=Z$6)))),0,IF(WEEKDAY(Z$6,1)=1,0,IF(WEEKDAY(Z$6,1)=7,Z56*Z57,IF(IF(AND(IFERROR(INDEX('Job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8"),FALSE))))),MAX(0,Z57-8)*Z56,0))))+((IF(OR(Z56&lt;=0,NOT(OR(AND(IFERROR(INDEX('Job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8"),FALSE))))),MIN(8,Z57)*Z56,Z56*Z57)))))-MIN(IF(OR(Z56&lt;=0,NOT(OR(AND(IFERROR(INDEX('Job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8"),FALSE))))),MIN(8,Z57)*Z56,Z56*Z57)))),MAX(0,40*MAX(1,Z56)-(Y58)))))</f>
        <v>4</v>
      </c>
      <c r="AA59" s="61">
        <f>IF(AND(AA56=1,AA57=12,AND(IFERROR(INDEX('Job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setup'!I$7:I$11,0)),"")=0))),4,IF(OR(AA56&lt;=0,NOT(OR(AND(IFERROR(INDEX('Job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setup'!I$7:I$11,0)),"")&gt;=AA$6)))),0,IF(WEEKDAY(AA$6,1)=1,0,IF(WEEKDAY(AA$6,1)=7,AA56*AA57,IF(IF(AND(IFERROR(INDEX('Job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8"),FALSE))))),MAX(0,AA57-8)*AA56,0))))+((IF(OR(AA56&lt;=0,NOT(OR(AND(IFERROR(INDEX('Job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8"),FALSE))))),MIN(8,AA57)*AA56,AA56*AA57)))))-MIN(IF(OR(AA56&lt;=0,NOT(OR(AND(IFERROR(INDEX('Job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8"),FALSE))))),MIN(8,AA57)*AA56,AA56*AA57)))),MAX(0,40*MAX(1,AA56)-(Y58+Z58)))))</f>
        <v>4</v>
      </c>
      <c r="AB59" s="61">
        <f>IF(AND(AB56=1,AB57=12,AND(IFERROR(INDEX('Job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setup'!I$7:I$11,0)),"")=0))),4,IF(OR(AB56&lt;=0,NOT(OR(AND(IFERROR(INDEX('Job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setup'!I$7:I$11,0)),"")&gt;=AB$6)))),0,IF(WEEKDAY(AB$6,1)=1,0,IF(WEEKDAY(AB$6,1)=7,AB56*AB57,IF(IF(AND(IFERROR(INDEX('Job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8"),FALSE))))),MAX(0,AB57-8)*AB56,0))))+((IF(OR(AB56&lt;=0,NOT(OR(AND(IFERROR(INDEX('Job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8"),FALSE))))),MIN(8,AB57)*AB56,AB56*AB57)))))-MIN(IF(OR(AB56&lt;=0,NOT(OR(AND(IFERROR(INDEX('Job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8"),FALSE))))),MIN(8,AB57)*AB56,AB56*AB57)))),MAX(0,40*MAX(1,AB56)-(Y58+Z58+AA58)))))</f>
        <v>4</v>
      </c>
      <c r="AC59" s="61">
        <f>IF(AND(AC56=1,AC57=12,AND(IFERROR(INDEX('Job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setup'!I$7:I$11,0)),"")=0))),4,IF(OR(AC56&lt;=0,NOT(OR(AND(IFERROR(INDEX('Job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setup'!I$7:I$11,0)),"")&gt;=AC$6)))),0,IF(WEEKDAY(AC$6,1)=1,0,IF(WEEKDAY(AC$6,1)=7,AC56*AC57,IF(IF(AND(IFERROR(INDEX('Job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8"),FALSE))))),MAX(0,AC57-8)*AC56,0))))+((IF(OR(AC56&lt;=0,NOT(OR(AND(IFERROR(INDEX('Job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8"),FALSE))))),MIN(8,AC57)*AC56,AC56*AC57)))))-MIN(IF(OR(AC56&lt;=0,NOT(OR(AND(IFERROR(INDEX('Job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8"),FALSE))))),MIN(8,AC57)*AC56,AC56*AC57)))),MAX(0,40*MAX(1,AC56)-(Y58+Z58+AA58+AB58)))))</f>
        <v>4</v>
      </c>
      <c r="AD59" s="62">
        <f>IF(AND(AD56=1,AD57=12,AND(IFERROR(INDEX('Job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setup'!I$7:I$11,0)),"")=0))),12,IF(OR(AD56&lt;=0,NOT(OR(AND(IFERROR(INDEX('Job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setup'!I$7:I$11,0)),"")&gt;=AD$6)))),0,IF(WEEKDAY(AD$6,1)=1,0,IF(WEEKDAY(AD$6,1)=7,AD56*AD57,IF(IF(AND(IFERROR(INDEX('Job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8"),FALSE))))),MAX(0,AD57-8)*AD56,0))))+((IF(OR(AD56&lt;=0,NOT(OR(AND(IFERROR(INDEX('Job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8"),FALSE))))),MIN(8,AD57)*AD56,AD56*AD57)))))-MIN(IF(OR(AD56&lt;=0,NOT(OR(AND(IFERROR(INDEX('Job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8"),FALSE))))),MIN(8,AD57)*AD56,AD56*AD57)))),MAX(0,40*MAX(1,AD56)-(Y58+Z58+AA58+AB58+AC58)))))</f>
        <v>12</v>
      </c>
      <c r="AE59" s="62">
        <f>IF(AND(AE56=1,AE57=12,AND(IFERROR(INDEX('Job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setup'!I$7:I$11,0)),"")=0))),0,IF(OR(AE56&lt;=0,NOT(OR(AND(IFERROR(INDEX('Job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setup'!I$7:I$11,0)),"")&gt;=AE$6)))),0,IF(WEEKDAY(AE$6,1)=1,0,IF(WEEKDAY(AE$6,1)=7,AE56*AE57,IF(IF(AND(IFERROR(INDEX('Job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8"),FALSE))))),MAX(0,AE57-8)*AE56,0))))+((IF(OR(AE56&lt;=0,NOT(OR(AND(IFERROR(INDEX('Job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8"),FALSE))))),MIN(8,AE57)*AE56,AE56*AE57)))))-MIN(IF(OR(AE56&lt;=0,NOT(OR(AND(IFERROR(INDEX('Job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8"),FALSE))))),MIN(8,AE57)*AE56,AE56*AE57)))),MAX(0,40*MAX(1,AE56)-(Y58+Z58+AA58+AB58+AC58+AD58)))))</f>
        <v>0</v>
      </c>
      <c r="AF59" s="61">
        <f>IF(AND(AF56=1,AF57=12,AND(IFERROR(INDEX('Job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setup'!I$7:I$11,0)),"")=0))),4,IF(OR(AF56&lt;=0,NOT(OR(AND(IFERROR(INDEX('Job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setup'!I$7:I$11,0)),"")&gt;=AF$6)))),0,IF(WEEKDAY(AF$6,1)=1,0,IF(WEEKDAY(AF$6,1)=7,AF56*AF57,IF(IF(AND(IFERROR(INDEX('Job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8"),FALSE))))),MAX(0,AF57-8)*AF56,0))))+((IF(OR(AF56&lt;=0,NOT(OR(AND(IFERROR(INDEX('Job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8"),FALSE))))),MIN(8,AF57)*AF56,AF56*AF57)))))-MIN(IF(OR(AF56&lt;=0,NOT(OR(AND(IFERROR(INDEX('Job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8"),FALSE))))),MIN(8,AF57)*AF56,AF56*AF57)))),MAX(0,40*MAX(1,AF56)-(0)))))</f>
        <v>4</v>
      </c>
      <c r="AG59" s="61">
        <f>IF(AND(AG56=1,AG57=12,AND(IFERROR(INDEX('Job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setup'!I$7:I$11,0)),"")=0))),4,IF(OR(AG56&lt;=0,NOT(OR(AND(IFERROR(INDEX('Job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setup'!I$7:I$11,0)),"")&gt;=AG$6)))),0,IF(WEEKDAY(AG$6,1)=1,0,IF(WEEKDAY(AG$6,1)=7,AG56*AG57,IF(IF(AND(IFERROR(INDEX('Job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8"),FALSE))))),MAX(0,AG57-8)*AG56,0))))+((IF(OR(AG56&lt;=0,NOT(OR(AND(IFERROR(INDEX('Job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8"),FALSE))))),MIN(8,AG57)*AG56,AG56*AG57)))))-MIN(IF(OR(AG56&lt;=0,NOT(OR(AND(IFERROR(INDEX('Job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8"),FALSE))))),MIN(8,AG57)*AG56,AG56*AG57)))),MAX(0,40*MAX(1,AG56)-(AF58)))))</f>
        <v>4</v>
      </c>
      <c r="AH59" s="61">
        <f>IF(AND(AH56=1,AH57=12,AND(IFERROR(INDEX('Job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setup'!I$7:I$11,0)),"")=0))),4,IF(OR(AH56&lt;=0,NOT(OR(AND(IFERROR(INDEX('Job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setup'!I$7:I$11,0)),"")&gt;=AH$6)))),0,IF(WEEKDAY(AH$6,1)=1,0,IF(WEEKDAY(AH$6,1)=7,AH56*AH57,IF(IF(AND(IFERROR(INDEX('Job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8"),FALSE))))),MAX(0,AH57-8)*AH56,0))))+((IF(OR(AH56&lt;=0,NOT(OR(AND(IFERROR(INDEX('Job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8"),FALSE))))),MIN(8,AH57)*AH56,AH56*AH57)))))-MIN(IF(OR(AH56&lt;=0,NOT(OR(AND(IFERROR(INDEX('Job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8"),FALSE))))),MIN(8,AH57)*AH56,AH56*AH57)))),MAX(0,40*MAX(1,AH56)-(AF58+AG58)))))</f>
        <v>4</v>
      </c>
      <c r="AI59" s="61">
        <f>IF(AND(AI56=1,AI57=8,AND(IFERROR(INDEX('Job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hours")),0,IF(OR(AI56&lt;=0,NOT(OR(AND(IFERROR(INDEX('Job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setup'!I$7:I$11,0)),"")&gt;=AI$6)))),0,IF(WEEKDAY(AI$6,1)=1,0,IF(WEEKDAY(AI$6,1)=7,AI56*AI57,IF(IF(AND(IFERROR(INDEX('Job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8"),FALSE))))),MAX(0,AI57-8)*AI56,0))))+((IF(OR(AI56&lt;=0,NOT(OR(AND(IFERROR(INDEX('Job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8"),FALSE))))),MIN(8,AI57)*AI56,AI56*AI57)))))-MIN(IF(OR(AI56&lt;=0,NOT(OR(AND(IFERROR(INDEX('Job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8"),FALSE))))),MIN(8,AI57)*AI56,AI56*AI57)))),MAX(0,40*MAX(1,AI56)-(0)))))</f>
        <v>0</v>
      </c>
      <c r="AJ59" s="61">
        <f>IF(AND(AJ56=1,AJ57=8,AND(IFERROR(INDEX('Job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hours")),0,IF(OR(AJ56&lt;=0,NOT(OR(AND(IFERROR(INDEX('Job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setup'!I$7:I$11,0)),"")&gt;=AJ$6)))),0,IF(WEEKDAY(AJ$6,1)=1,0,IF(WEEKDAY(AJ$6,1)=7,AJ56*AJ57,IF(IF(AND(IFERROR(INDEX('Job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8"),FALSE))))),MAX(0,AJ57-8)*AJ56,0))))+((IF(OR(AJ56&lt;=0,NOT(OR(AND(IFERROR(INDEX('Job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8"),FALSE))))),MIN(8,AJ57)*AJ56,AJ56*AJ57)))))-MIN(IF(OR(AJ56&lt;=0,NOT(OR(AND(IFERROR(INDEX('Job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8"),FALSE))))),MIN(8,AJ57)*AJ56,AJ56*AJ57)))),MAX(0,40*MAX(1,AJ56)-(AI58)))))</f>
        <v>0</v>
      </c>
      <c r="AK59" s="62">
        <f>IF(AND(AK56=0,AK57=0,AND(IFERROR(INDEX('Job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hours")),0,IF(OR(AK56&lt;=0,NOT(OR(AND(IFERROR(INDEX('Job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setup'!I$7:I$11,0)),"")&gt;=AK$6)))),0,IF(WEEKDAY(AK$6,1)=1,0,IF(WEEKDAY(AK$6,1)=7,AK56*AK57,IF(IF(AND(IFERROR(INDEX('Job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8"),FALSE))))),MAX(0,AK57-8)*AK56,0))))+((IF(OR(AK56&lt;=0,NOT(OR(AND(IFERROR(INDEX('Job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8"),FALSE))))),MIN(8,AK57)*AK56,AK56*AK57)))))-MIN(IF(OR(AK56&lt;=0,NOT(OR(AND(IFERROR(INDEX('Job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8"),FALSE))))),MIN(8,AK57)*AK56,AK56*AK57)))),MAX(0,40*MAX(1,AK56)-(0)))))</f>
        <v>0</v>
      </c>
      <c r="AL59" s="62">
        <f>IF(AND(AL56=0,AL57=0,AND(IFERROR(INDEX('Job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hours")),0,IF(OR(AL56&lt;=0,NOT(OR(AND(IFERROR(INDEX('Job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setup'!I$7:I$11,0)),"")&gt;=AL$6)))),0,IF(WEEKDAY(AL$6,1)=1,0,IF(WEEKDAY(AL$6,1)=7,AL56*AL57,IF(IF(AND(IFERROR(INDEX('Job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8"),FALSE))))),MAX(0,AL57-8)*AL56,0))))+((IF(OR(AL56&lt;=0,NOT(OR(AND(IFERROR(INDEX('Job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8"),FALSE))))),MIN(8,AL57)*AL56,AL56*AL57)))))-MIN(IF(OR(AL56&lt;=0,NOT(OR(AND(IFERROR(INDEX('Job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8"),FALSE))))),MIN(8,AL57)*AL56,AL56*AL57)))),MAX(0,40*MAX(1,AL56)-(AK58)))))</f>
        <v>0</v>
      </c>
      <c r="AM59" s="61">
        <f>IF(AND(AM56=1,AM57=8,AND(IFERROR(INDEX('Job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hours")),0,IF(OR(AM56&lt;=0,NOT(OR(AND(IFERROR(INDEX('Job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setup'!I$7:I$11,0)),"")&gt;=AM$6)))),0,IF(WEEKDAY(AM$6,1)=1,0,IF(WEEKDAY(AM$6,1)=7,AM56*AM57,IF(IF(AND(IFERROR(INDEX('Job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8"),FALSE))))),MAX(0,AM57-8)*AM56,0))))+((IF(OR(AM56&lt;=0,NOT(OR(AND(IFERROR(INDEX('Job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8"),FALSE))))),MIN(8,AM57)*AM56,AM56*AM57)))))-MIN(IF(OR(AM56&lt;=0,NOT(OR(AND(IFERROR(INDEX('Job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8"),FALSE))))),MIN(8,AM57)*AM56,AM56*AM57)))),MAX(0,40*MAX(1,AM56)-(0)))))</f>
        <v>0</v>
      </c>
      <c r="AN59" s="61">
        <f>IF(AND(AN56=1,AN57=8,AND(IFERROR(INDEX('Job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hours")),0,IF(OR(AN56&lt;=0,NOT(OR(AND(IFERROR(INDEX('Job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setup'!I$7:I$11,0)),"")&gt;=AN$6)))),0,IF(WEEKDAY(AN$6,1)=1,0,IF(WEEKDAY(AN$6,1)=7,AN56*AN57,IF(IF(AND(IFERROR(INDEX('Job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8"),FALSE))))),MAX(0,AN57-8)*AN56,0))))+((IF(OR(AN56&lt;=0,NOT(OR(AND(IFERROR(INDEX('Job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8"),FALSE))))),MIN(8,AN57)*AN56,AN56*AN57)))))-MIN(IF(OR(AN56&lt;=0,NOT(OR(AND(IFERROR(INDEX('Job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8"),FALSE))))),MIN(8,AN57)*AN56,AN56*AN57)))),MAX(0,40*MAX(1,AN56)-(AM58)))))</f>
        <v>0</v>
      </c>
      <c r="AO59" s="61">
        <f>IF(AND(AO56=1,AO57=8,AND(IFERROR(INDEX('Job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hours")),0,IF(OR(AO56&lt;=0,NOT(OR(AND(IFERROR(INDEX('Job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setup'!I$7:I$11,0)),"")&gt;=AO$6)))),0,IF(WEEKDAY(AO$6,1)=1,0,IF(WEEKDAY(AO$6,1)=7,AO56*AO57,IF(IF(AND(IFERROR(INDEX('Job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8"),FALSE))))),MAX(0,AO57-8)*AO56,0))))+((IF(OR(AO56&lt;=0,NOT(OR(AND(IFERROR(INDEX('Job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8"),FALSE))))),MIN(8,AO57)*AO56,AO56*AO57)))))-MIN(IF(OR(AO56&lt;=0,NOT(OR(AND(IFERROR(INDEX('Job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8"),FALSE))))),MIN(8,AO57)*AO56,AO56*AO57)))),MAX(0,40*MAX(1,AO56)-(AM58+AN58)))))</f>
        <v>0</v>
      </c>
      <c r="AP59" s="63">
        <f>IF(AND(AP56=1,AP57=8,AND(IFERROR(INDEX('Job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hours")),0,IF(OR(AP56&lt;=0,NOT(OR(AND(IFERROR(INDEX('Job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setup'!I$7:I$11,0)),"")&gt;=AP$6)))),0,IF(WEEKDAY(AP$6,1)=1,0,IF(WEEKDAY(AP$6,1)=7,AP56*AP57,IF(IF(AND(IFERROR(INDEX('Job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8"),FALSE))))),MAX(0,AP57-8)*AP56,0))))+((IF(OR(AP56&lt;=0,NOT(OR(AND(IFERROR(INDEX('Job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8"),FALSE))))),MIN(8,AP57)*AP56,AP56*AP57)))))-MIN(IF(OR(AP56&lt;=0,NOT(OR(AND(IFERROR(INDEX('Job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8"),FALSE))))),MIN(8,AP57)*AP56,AP56*AP57)))),MAX(0,40*MAX(1,AP56)-(AM58+AN58+AO58)))))</f>
        <v>0</v>
      </c>
      <c r="OU59" s="28" t="s">
        <v>75</v>
      </c>
    </row>
    <row r="60" ht="16" customHeight="1" spans="1:411" x14ac:dyDescent="0.25">
      <c r="A60" s="43"/>
      <c r="B60" s="44"/>
      <c r="C60" s="59">
        <f>H55*N(D60)</f>
        <v>4833.6</v>
      </c>
      <c r="D60" s="59">
        <f>IF(TRIM(B55)="","No rate",IFERROR(INDEX('Rate Tables'!E$7:E$161,MATCH(B55,'Rate Tables'!A$7:A$161,0)),"No rate"))</f>
        <v>201.4</v>
      </c>
      <c r="E60" s="53" t="s">
        <v>64</v>
      </c>
      <c r="F60" s="47"/>
      <c r="G60" s="47"/>
      <c r="H60" s="47"/>
      <c r="I60" s="47"/>
      <c r="J60" s="48"/>
      <c r="K60" s="60">
        <f>IF(AND(K56=1,K57=8,AND(IFERROR(INDEX('Job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hours")),0,IF(OR(K56&lt;=0,NOT(OR(AND(IFERROR(INDEX('Job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setup'!I$7:I$11,0)),"")&gt;=K$6)))),0,IF(WEEKDAY(K$6,1)=1,K56*K57,0)))</f>
        <v>0</v>
      </c>
      <c r="L60" s="61">
        <f>IF(AND(L56=1,L57=8,AND(IFERROR(INDEX('Job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hours")),0,IF(OR(L56&lt;=0,NOT(OR(AND(IFERROR(INDEX('Job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setup'!I$7:I$11,0)),"")&gt;=L$6)))),0,IF(WEEKDAY(L$6,1)=1,L56*L57,0)))</f>
        <v>0</v>
      </c>
      <c r="M60" s="61">
        <f>IF(AND(M56=1,M57=8,AND(IFERROR(INDEX('Job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hours")),0,IF(OR(M56&lt;=0,NOT(OR(AND(IFERROR(INDEX('Job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setup'!I$7:I$11,0)),"")&gt;=M$6)))),0,IF(WEEKDAY(M$6,1)=1,M56*M57,0)))</f>
        <v>0</v>
      </c>
      <c r="N60" s="61">
        <f>IF(AND(N56=1,N57=8,AND(IFERROR(INDEX('Job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hours")),0,IF(OR(N56&lt;=0,NOT(OR(AND(IFERROR(INDEX('Job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setup'!I$7:I$11,0)),"")&gt;=N$6)))),0,IF(WEEKDAY(N$6,1)=1,N56*N57,0)))</f>
        <v>0</v>
      </c>
      <c r="O60" s="61">
        <f>IF(AND(O56=1,O57=8,AND(IFERROR(INDEX('Job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hours")),0,IF(OR(O56&lt;=0,NOT(OR(AND(IFERROR(INDEX('Job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setup'!I$7:I$11,0)),"")&gt;=O$6)))),0,IF(WEEKDAY(O$6,1)=1,O56*O57,0)))</f>
        <v>0</v>
      </c>
      <c r="P60" s="62">
        <f>IF(AND(P56=0,P57=0,AND(IFERROR(INDEX('Job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hours")),0,IF(OR(P56&lt;=0,NOT(OR(AND(IFERROR(INDEX('Job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setup'!I$7:I$11,0)),"")&gt;=P$6)))),0,IF(WEEKDAY(P$6,1)=1,P56*P57,0)))</f>
        <v>0</v>
      </c>
      <c r="Q60" s="62">
        <f>IF(AND(Q56=0,Q57=0,AND(IFERROR(INDEX('Job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hours")),0,IF(OR(Q56&lt;=0,NOT(OR(AND(IFERROR(INDEX('Job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setup'!I$7:I$11,0)),"")&gt;=Q$6)))),0,IF(WEEKDAY(Q$6,1)=1,Q56*Q57,0)))</f>
        <v>0</v>
      </c>
      <c r="R60" s="61">
        <f>IF(AND(R56=1,R57=8,AND(IFERROR(INDEX('Job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hours")),0,IF(OR(R56&lt;=0,NOT(OR(AND(IFERROR(INDEX('Job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setup'!I$7:I$11,0)),"")&gt;=R$6)))),0,IF(WEEKDAY(R$6,1)=1,R56*R57,0)))</f>
        <v>0</v>
      </c>
      <c r="S60" s="61">
        <f>IF(AND(S56=1,S57=8,AND(IFERROR(INDEX('Job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hours")),0,IF(OR(S56&lt;=0,NOT(OR(AND(IFERROR(INDEX('Job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setup'!I$7:I$11,0)),"")&gt;=S$6)))),0,IF(WEEKDAY(S$6,1)=1,S56*S57,0)))</f>
        <v>0</v>
      </c>
      <c r="T60" s="61">
        <f>IF(AND(T56=1,T57=8,AND(IFERROR(INDEX('Job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hours")),0,IF(OR(T56&lt;=0,NOT(OR(AND(IFERROR(INDEX('Job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setup'!I$7:I$11,0)),"")&gt;=T$6)))),0,IF(WEEKDAY(T$6,1)=1,T56*T57,0)))</f>
        <v>0</v>
      </c>
      <c r="U60" s="61">
        <f>IF(AND(U56=1,U57=12,AND(IFERROR(INDEX('Job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setup'!I$7:I$11,0)),"")=0))),0,IF(OR(U56&lt;=0,NOT(OR(AND(IFERROR(INDEX('Job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setup'!I$7:I$11,0)),"")&gt;=U$6)))),0,IF(WEEKDAY(U$6,1)=1,U56*U57,0)))</f>
        <v>0</v>
      </c>
      <c r="V60" s="61">
        <f>IF(AND(V56=1,V57=12,AND(IFERROR(INDEX('Job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setup'!I$7:I$11,0)),"")=0))),0,IF(OR(V56&lt;=0,NOT(OR(AND(IFERROR(INDEX('Job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setup'!I$7:I$11,0)),"")&gt;=V$6)))),0,IF(WEEKDAY(V$6,1)=1,V56*V57,0)))</f>
        <v>0</v>
      </c>
      <c r="W60" s="62">
        <f>IF(AND(W56=1,W57=12,AND(IFERROR(INDEX('Job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setup'!I$7:I$11,0)),"")=0))),0,IF(OR(W56&lt;=0,NOT(OR(AND(IFERROR(INDEX('Job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setup'!I$7:I$11,0)),"")&gt;=W$6)))),0,IF(WEEKDAY(W$6,1)=1,W56*W57,0)))</f>
        <v>0</v>
      </c>
      <c r="X60" s="62">
        <f>IF(AND(X56=1,X57=12,AND(IFERROR(INDEX('Job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setup'!I$7:I$11,0)),"")=0))),12,IF(OR(X56&lt;=0,NOT(OR(AND(IFERROR(INDEX('Job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setup'!I$7:I$11,0)),"")&gt;=X$6)))),0,IF(WEEKDAY(X$6,1)=1,X56*X57,0)))</f>
        <v>12</v>
      </c>
      <c r="Y60" s="61">
        <f>IF(AND(Y56=1,Y57=12,AND(IFERROR(INDEX('Job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setup'!I$7:I$11,0)),"")=0))),0,IF(OR(Y56&lt;=0,NOT(OR(AND(IFERROR(INDEX('Job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setup'!I$7:I$11,0)),"")&gt;=Y$6)))),0,IF(WEEKDAY(Y$6,1)=1,Y56*Y57,0)))</f>
        <v>0</v>
      </c>
      <c r="Z60" s="61">
        <f>IF(AND(Z56=1,Z57=12,AND(IFERROR(INDEX('Job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setup'!I$7:I$11,0)),"")=0))),0,IF(OR(Z56&lt;=0,NOT(OR(AND(IFERROR(INDEX('Job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setup'!I$7:I$11,0)),"")&gt;=Z$6)))),0,IF(WEEKDAY(Z$6,1)=1,Z56*Z57,0)))</f>
        <v>0</v>
      </c>
      <c r="AA60" s="61">
        <f>IF(AND(AA56=1,AA57=12,AND(IFERROR(INDEX('Job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setup'!I$7:I$11,0)),"")=0))),0,IF(OR(AA56&lt;=0,NOT(OR(AND(IFERROR(INDEX('Job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setup'!I$7:I$11,0)),"")&gt;=AA$6)))),0,IF(WEEKDAY(AA$6,1)=1,AA56*AA57,0)))</f>
        <v>0</v>
      </c>
      <c r="AB60" s="61">
        <f>IF(AND(AB56=1,AB57=12,AND(IFERROR(INDEX('Job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setup'!I$7:I$11,0)),"")=0))),0,IF(OR(AB56&lt;=0,NOT(OR(AND(IFERROR(INDEX('Job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setup'!I$7:I$11,0)),"")&gt;=AB$6)))),0,IF(WEEKDAY(AB$6,1)=1,AB56*AB57,0)))</f>
        <v>0</v>
      </c>
      <c r="AC60" s="61">
        <f>IF(AND(AC56=1,AC57=12,AND(IFERROR(INDEX('Job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setup'!I$7:I$11,0)),"")=0))),0,IF(OR(AC56&lt;=0,NOT(OR(AND(IFERROR(INDEX('Job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setup'!I$7:I$11,0)),"")&gt;=AC$6)))),0,IF(WEEKDAY(AC$6,1)=1,AC56*AC57,0)))</f>
        <v>0</v>
      </c>
      <c r="AD60" s="62">
        <f>IF(AND(AD56=1,AD57=12,AND(IFERROR(INDEX('Job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setup'!I$7:I$11,0)),"")=0))),0,IF(OR(AD56&lt;=0,NOT(OR(AND(IFERROR(INDEX('Job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setup'!I$7:I$11,0)),"")&gt;=AD$6)))),0,IF(WEEKDAY(AD$6,1)=1,AD56*AD57,0)))</f>
        <v>0</v>
      </c>
      <c r="AE60" s="62">
        <f>IF(AND(AE56=1,AE57=12,AND(IFERROR(INDEX('Job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setup'!I$7:I$11,0)),"")=0))),12,IF(OR(AE56&lt;=0,NOT(OR(AND(IFERROR(INDEX('Job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setup'!I$7:I$11,0)),"")&gt;=AE$6)))),0,IF(WEEKDAY(AE$6,1)=1,AE56*AE57,0)))</f>
        <v>12</v>
      </c>
      <c r="AF60" s="61">
        <f>IF(AND(AF56=1,AF57=12,AND(IFERROR(INDEX('Job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setup'!I$7:I$11,0)),"")=0))),0,IF(OR(AF56&lt;=0,NOT(OR(AND(IFERROR(INDEX('Job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setup'!I$7:I$11,0)),"")&gt;=AF$6)))),0,IF(WEEKDAY(AF$6,1)=1,AF56*AF57,0)))</f>
        <v>0</v>
      </c>
      <c r="AG60" s="61">
        <f>IF(AND(AG56=1,AG57=12,AND(IFERROR(INDEX('Job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setup'!I$7:I$11,0)),"")=0))),0,IF(OR(AG56&lt;=0,NOT(OR(AND(IFERROR(INDEX('Job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setup'!I$7:I$11,0)),"")&gt;=AG$6)))),0,IF(WEEKDAY(AG$6,1)=1,AG56*AG57,0)))</f>
        <v>0</v>
      </c>
      <c r="AH60" s="61">
        <f>IF(AND(AH56=1,AH57=12,AND(IFERROR(INDEX('Job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setup'!I$7:I$11,0)),"")=0))),0,IF(OR(AH56&lt;=0,NOT(OR(AND(IFERROR(INDEX('Job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setup'!I$7:I$11,0)),"")&gt;=AH$6)))),0,IF(WEEKDAY(AH$6,1)=1,AH56*AH57,0)))</f>
        <v>0</v>
      </c>
      <c r="AI60" s="61">
        <f>IF(AND(AI56=1,AI57=8,AND(IFERROR(INDEX('Job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hours")),0,IF(OR(AI56&lt;=0,NOT(OR(AND(IFERROR(INDEX('Job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setup'!I$7:I$11,0)),"")&gt;=AI$6)))),0,IF(WEEKDAY(AI$6,1)=1,AI56*AI57,0)))</f>
        <v>0</v>
      </c>
      <c r="AJ60" s="61">
        <f>IF(AND(AJ56=1,AJ57=8,AND(IFERROR(INDEX('Job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hours")),0,IF(OR(AJ56&lt;=0,NOT(OR(AND(IFERROR(INDEX('Job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setup'!I$7:I$11,0)),"")&gt;=AJ$6)))),0,IF(WEEKDAY(AJ$6,1)=1,AJ56*AJ57,0)))</f>
        <v>0</v>
      </c>
      <c r="AK60" s="62">
        <f>IF(AND(AK56=0,AK57=0,AND(IFERROR(INDEX('Job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hours")),0,IF(OR(AK56&lt;=0,NOT(OR(AND(IFERROR(INDEX('Job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setup'!I$7:I$11,0)),"")&gt;=AK$6)))),0,IF(WEEKDAY(AK$6,1)=1,AK56*AK57,0)))</f>
        <v>0</v>
      </c>
      <c r="AL60" s="62">
        <f>IF(AND(AL56=0,AL57=0,AND(IFERROR(INDEX('Job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hours")),0,IF(OR(AL56&lt;=0,NOT(OR(AND(IFERROR(INDEX('Job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setup'!I$7:I$11,0)),"")&gt;=AL$6)))),0,IF(WEEKDAY(AL$6,1)=1,AL56*AL57,0)))</f>
        <v>0</v>
      </c>
      <c r="AM60" s="61">
        <f>IF(AND(AM56=1,AM57=8,AND(IFERROR(INDEX('Job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hours")),0,IF(OR(AM56&lt;=0,NOT(OR(AND(IFERROR(INDEX('Job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setup'!I$7:I$11,0)),"")&gt;=AM$6)))),0,IF(WEEKDAY(AM$6,1)=1,AM56*AM57,0)))</f>
        <v>0</v>
      </c>
      <c r="AN60" s="61">
        <f>IF(AND(AN56=1,AN57=8,AND(IFERROR(INDEX('Job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hours")),0,IF(OR(AN56&lt;=0,NOT(OR(AND(IFERROR(INDEX('Job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setup'!I$7:I$11,0)),"")&gt;=AN$6)))),0,IF(WEEKDAY(AN$6,1)=1,AN56*AN57,0)))</f>
        <v>0</v>
      </c>
      <c r="AO60" s="61">
        <f>IF(AND(AO56=1,AO57=8,AND(IFERROR(INDEX('Job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hours")),0,IF(OR(AO56&lt;=0,NOT(OR(AND(IFERROR(INDEX('Job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setup'!I$7:I$11,0)),"")&gt;=AO$6)))),0,IF(WEEKDAY(AO$6,1)=1,AO56*AO57,0)))</f>
        <v>0</v>
      </c>
      <c r="AP60" s="63">
        <f>IF(AND(AP56=1,AP57=8,AND(IFERROR(INDEX('Job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hours")),0,IF(OR(AP56&lt;=0,NOT(OR(AND(IFERROR(INDEX('Job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setup'!I$7:I$11,0)),"")&gt;=AP$6)))),0,IF(WEEKDAY(AP$6,1)=1,AP56*AP57,0)))</f>
        <v>0</v>
      </c>
      <c r="OU60" s="28" t="s">
        <v>75</v>
      </c>
    </row>
    <row r="61" ht="16" customHeight="1" spans="1:411" x14ac:dyDescent="0.25">
      <c r="A61" s="43"/>
      <c r="B61" s="44"/>
      <c r="C61" s="65">
        <f>I55*D61</f>
        <v>3080</v>
      </c>
      <c r="D61" s="65">
        <v>140</v>
      </c>
      <c r="E61" s="66" t="s">
        <v>65</v>
      </c>
      <c r="F61" s="47"/>
      <c r="G61" s="47"/>
      <c r="H61" s="47"/>
      <c r="I61" s="47"/>
      <c r="J61" s="48"/>
      <c r="K61" s="67">
        <v>1</v>
      </c>
      <c r="L61" s="68">
        <v>1</v>
      </c>
      <c r="M61" s="68">
        <v>1</v>
      </c>
      <c r="N61" s="68">
        <v>1</v>
      </c>
      <c r="O61" s="68">
        <v>1</v>
      </c>
      <c r="P61" s="69">
        <v>0</v>
      </c>
      <c r="Q61" s="69">
        <v>0</v>
      </c>
      <c r="R61" s="68">
        <v>1</v>
      </c>
      <c r="S61" s="68">
        <v>1</v>
      </c>
      <c r="T61" s="68">
        <v>1</v>
      </c>
      <c r="U61" s="68">
        <v>1</v>
      </c>
      <c r="V61" s="68">
        <v>1</v>
      </c>
      <c r="W61" s="69">
        <v>1</v>
      </c>
      <c r="X61" s="69">
        <v>1</v>
      </c>
      <c r="Y61" s="68">
        <v>1</v>
      </c>
      <c r="Z61" s="68">
        <v>1</v>
      </c>
      <c r="AA61" s="68">
        <v>1</v>
      </c>
      <c r="AB61" s="68">
        <v>1</v>
      </c>
      <c r="AC61" s="68">
        <v>1</v>
      </c>
      <c r="AD61" s="69">
        <v>1</v>
      </c>
      <c r="AE61" s="69">
        <v>1</v>
      </c>
      <c r="AF61" s="68">
        <v>1</v>
      </c>
      <c r="AG61" s="68">
        <v>1</v>
      </c>
      <c r="AH61" s="68">
        <v>1</v>
      </c>
      <c r="AI61" s="68">
        <v>0</v>
      </c>
      <c r="AJ61" s="68">
        <v>0</v>
      </c>
      <c r="AK61" s="69">
        <v>0</v>
      </c>
      <c r="AL61" s="69">
        <v>0</v>
      </c>
      <c r="AM61" s="68">
        <v>0</v>
      </c>
      <c r="AN61" s="68">
        <v>0</v>
      </c>
      <c r="AO61" s="68">
        <v>0</v>
      </c>
      <c r="AP61" s="70">
        <v>0</v>
      </c>
      <c r="OU61" s="58" t="s">
        <v>75</v>
      </c>
    </row>
    <row r="62" ht="8" customHeight="1" spans="1:42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</row>
    <row r="63" ht="16" customHeight="1" spans="1:411" x14ac:dyDescent="0.25">
      <c r="A63" s="72" t="s">
        <v>66</v>
      </c>
      <c r="B63" s="44" t="s">
        <v>74</v>
      </c>
      <c r="C63" s="45">
        <f>J63</f>
        <v>30853.120000000003</v>
      </c>
      <c r="D63" s="46"/>
      <c r="E63" s="46"/>
      <c r="F63" s="47">
        <f>SUM(K66:AP66)</f>
        <v>144</v>
      </c>
      <c r="G63" s="47">
        <f>SUM(K67:AP67)</f>
        <v>64</v>
      </c>
      <c r="H63" s="47">
        <f>SUM(K68:AP68)</f>
        <v>24</v>
      </c>
      <c r="I63" s="47">
        <f>SUM(K69:AP69)</f>
        <v>22</v>
      </c>
      <c r="J63" s="48">
        <f>C66+C67+C68</f>
        <v>30853.120000000003</v>
      </c>
      <c r="K63" s="49"/>
      <c r="L63" s="50"/>
      <c r="M63" s="50"/>
      <c r="N63" s="50"/>
      <c r="O63" s="50"/>
      <c r="P63" s="51"/>
      <c r="Q63" s="51"/>
      <c r="R63" s="50"/>
      <c r="S63" s="50"/>
      <c r="T63" s="50"/>
      <c r="U63" s="50"/>
      <c r="V63" s="50"/>
      <c r="W63" s="51"/>
      <c r="X63" s="51"/>
      <c r="Y63" s="50"/>
      <c r="Z63" s="50"/>
      <c r="AA63" s="50"/>
      <c r="AB63" s="50"/>
      <c r="AC63" s="50"/>
      <c r="AD63" s="51"/>
      <c r="AE63" s="51"/>
      <c r="AF63" s="50"/>
      <c r="AG63" s="50"/>
      <c r="AH63" s="50"/>
      <c r="AI63" s="50"/>
      <c r="AJ63" s="50"/>
      <c r="AK63" s="51"/>
      <c r="AL63" s="51"/>
      <c r="AM63" s="50"/>
      <c r="AN63" s="50"/>
      <c r="AO63" s="50"/>
      <c r="AP63" s="52"/>
      <c r="OU63" s="28" t="s">
        <v>76</v>
      </c>
    </row>
    <row r="64" ht="16" customHeight="1" spans="1:411" x14ac:dyDescent="0.25">
      <c r="A64" s="72"/>
      <c r="B64" s="44"/>
      <c r="C64" s="45"/>
      <c r="D64" s="46"/>
      <c r="E64" s="53" t="s">
        <v>60</v>
      </c>
      <c r="F64" s="47"/>
      <c r="G64" s="47"/>
      <c r="H64" s="47"/>
      <c r="I64" s="47"/>
      <c r="J64" s="48"/>
      <c r="K64" s="54">
        <v>1</v>
      </c>
      <c r="L64" s="55">
        <v>1</v>
      </c>
      <c r="M64" s="55">
        <v>1</v>
      </c>
      <c r="N64" s="55">
        <v>1</v>
      </c>
      <c r="O64" s="55">
        <v>1</v>
      </c>
      <c r="P64" s="56">
        <v>0</v>
      </c>
      <c r="Q64" s="56">
        <v>0</v>
      </c>
      <c r="R64" s="55">
        <v>1</v>
      </c>
      <c r="S64" s="55">
        <v>1</v>
      </c>
      <c r="T64" s="55">
        <v>1</v>
      </c>
      <c r="U64" s="55">
        <v>1</v>
      </c>
      <c r="V64" s="55">
        <v>1</v>
      </c>
      <c r="W64" s="56">
        <v>1</v>
      </c>
      <c r="X64" s="56">
        <v>1</v>
      </c>
      <c r="Y64" s="55">
        <v>1</v>
      </c>
      <c r="Z64" s="55">
        <v>1</v>
      </c>
      <c r="AA64" s="55">
        <v>1</v>
      </c>
      <c r="AB64" s="55">
        <v>1</v>
      </c>
      <c r="AC64" s="55">
        <v>1</v>
      </c>
      <c r="AD64" s="56">
        <v>1</v>
      </c>
      <c r="AE64" s="56">
        <v>1</v>
      </c>
      <c r="AF64" s="55">
        <v>1</v>
      </c>
      <c r="AG64" s="55">
        <v>1</v>
      </c>
      <c r="AH64" s="55">
        <v>1</v>
      </c>
      <c r="AI64" s="55">
        <v>0</v>
      </c>
      <c r="AJ64" s="55">
        <v>0</v>
      </c>
      <c r="AK64" s="56">
        <v>0</v>
      </c>
      <c r="AL64" s="56">
        <v>0</v>
      </c>
      <c r="AM64" s="55">
        <v>0</v>
      </c>
      <c r="AN64" s="55">
        <v>0</v>
      </c>
      <c r="AO64" s="55">
        <v>0</v>
      </c>
      <c r="AP64" s="57">
        <v>0</v>
      </c>
      <c r="OU64" s="58" t="s">
        <v>76</v>
      </c>
    </row>
    <row r="65" ht="16" customHeight="1" spans="1:411" x14ac:dyDescent="0.25">
      <c r="A65" s="72"/>
      <c r="B65" s="44"/>
      <c r="C65" s="45"/>
      <c r="D65" s="46"/>
      <c r="E65" s="53" t="s">
        <v>61</v>
      </c>
      <c r="F65" s="47"/>
      <c r="G65" s="47"/>
      <c r="H65" s="47"/>
      <c r="I65" s="47"/>
      <c r="J65" s="48"/>
      <c r="K65" s="54">
        <v>8</v>
      </c>
      <c r="L65" s="55">
        <v>8</v>
      </c>
      <c r="M65" s="55">
        <v>8</v>
      </c>
      <c r="N65" s="55">
        <v>8</v>
      </c>
      <c r="O65" s="55">
        <v>8</v>
      </c>
      <c r="P65" s="56">
        <v>0</v>
      </c>
      <c r="Q65" s="56">
        <v>0</v>
      </c>
      <c r="R65" s="55">
        <v>8</v>
      </c>
      <c r="S65" s="55">
        <v>8</v>
      </c>
      <c r="T65" s="55">
        <v>8</v>
      </c>
      <c r="U65" s="55">
        <v>12</v>
      </c>
      <c r="V65" s="55">
        <v>12</v>
      </c>
      <c r="W65" s="56">
        <v>12</v>
      </c>
      <c r="X65" s="56">
        <v>12</v>
      </c>
      <c r="Y65" s="55">
        <v>12</v>
      </c>
      <c r="Z65" s="55">
        <v>12</v>
      </c>
      <c r="AA65" s="55">
        <v>12</v>
      </c>
      <c r="AB65" s="55">
        <v>12</v>
      </c>
      <c r="AC65" s="55">
        <v>12</v>
      </c>
      <c r="AD65" s="56">
        <v>12</v>
      </c>
      <c r="AE65" s="56">
        <v>12</v>
      </c>
      <c r="AF65" s="55">
        <v>12</v>
      </c>
      <c r="AG65" s="55">
        <v>12</v>
      </c>
      <c r="AH65" s="55">
        <v>12</v>
      </c>
      <c r="AI65" s="55">
        <v>0</v>
      </c>
      <c r="AJ65" s="55">
        <v>0</v>
      </c>
      <c r="AK65" s="56">
        <v>0</v>
      </c>
      <c r="AL65" s="56">
        <v>0</v>
      </c>
      <c r="AM65" s="55">
        <v>0</v>
      </c>
      <c r="AN65" s="55">
        <v>0</v>
      </c>
      <c r="AO65" s="55">
        <v>0</v>
      </c>
      <c r="AP65" s="57">
        <v>0</v>
      </c>
      <c r="OU65" s="58" t="s">
        <v>76</v>
      </c>
    </row>
    <row r="66" ht="16" customHeight="1" spans="1:411" x14ac:dyDescent="0.25">
      <c r="A66" s="72"/>
      <c r="B66" s="44"/>
      <c r="C66" s="59">
        <f>F63*N(D66)</f>
        <v>16015.68</v>
      </c>
      <c r="D66" s="59">
        <f>IF(TRIM(B63)="","No rate",IFERROR(INDEX('Rate Tables'!C$7:C$161,MATCH(B63,'Rate Tables'!A$7:A$161,0)),"No rate"))</f>
        <v>111.22</v>
      </c>
      <c r="E66" s="53" t="s">
        <v>62</v>
      </c>
      <c r="F66" s="47"/>
      <c r="G66" s="47"/>
      <c r="H66" s="47"/>
      <c r="I66" s="47"/>
      <c r="J66" s="48"/>
      <c r="K66" s="60">
        <f>IF(AND(K64=1,K65=8,AND(IFERROR(INDEX('Job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hours")),8,MIN(IF(OR(K64&lt;=0,NOT(OR(AND(IFERROR(INDEX('Job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8"),FALSE))))),MIN(8,K65)*K64,K64*K65)))),MAX(0,40*MAX(1,K64)-(0))))</f>
        <v>8</v>
      </c>
      <c r="L66" s="61">
        <f>IF(AND(L64=1,L65=8,AND(IFERROR(INDEX('Job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hours")),8,MIN(IF(OR(L64&lt;=0,NOT(OR(AND(IFERROR(INDEX('Job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8"),FALSE))))),MIN(8,L65)*L64,L64*L65)))),MAX(0,40*MAX(1,L64)-(K66))))</f>
        <v>8</v>
      </c>
      <c r="M66" s="61">
        <f>IF(AND(M64=1,M65=8,AND(IFERROR(INDEX('Job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hours")),8,MIN(IF(OR(M64&lt;=0,NOT(OR(AND(IFERROR(INDEX('Job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8"),FALSE))))),MIN(8,M65)*M64,M64*M65)))),MAX(0,40*MAX(1,M64)-(K66+L66))))</f>
        <v>8</v>
      </c>
      <c r="N66" s="61">
        <f>IF(AND(N64=1,N65=8,AND(IFERROR(INDEX('Job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hours")),8,MIN(IF(OR(N64&lt;=0,NOT(OR(AND(IFERROR(INDEX('Job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8"),FALSE))))),MIN(8,N65)*N64,N64*N65)))),MAX(0,40*MAX(1,N64)-(K66+L66+M66))))</f>
        <v>8</v>
      </c>
      <c r="O66" s="61">
        <f>IF(AND(O64=1,O65=8,AND(IFERROR(INDEX('Job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hours")),8,MIN(IF(OR(O64&lt;=0,NOT(OR(AND(IFERROR(INDEX('Job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8"),FALSE))))),MIN(8,O65)*O64,O64*O65)))),MAX(0,40*MAX(1,O64)-(K66+L66+M66+N66))))</f>
        <v>8</v>
      </c>
      <c r="P66" s="62">
        <f>IF(AND(P64=0,P65=0,AND(IFERROR(INDEX('Job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hours")),0,MIN(IF(OR(P64&lt;=0,NOT(OR(AND(IFERROR(INDEX('Job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8"),FALSE))))),MIN(8,P65)*P64,P64*P65)))),MAX(0,40*MAX(1,P64)-(0))))</f>
        <v>0</v>
      </c>
      <c r="Q66" s="62">
        <f>IF(AND(Q64=0,Q65=0,AND(IFERROR(INDEX('Job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hours")),0,MIN(IF(OR(Q64&lt;=0,NOT(OR(AND(IFERROR(INDEX('Job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8"),FALSE))))),MIN(8,Q65)*Q64,Q64*Q65)))),MAX(0,40*MAX(1,Q64)-(P66))))</f>
        <v>0</v>
      </c>
      <c r="R66" s="61">
        <f>IF(AND(R64=1,R65=8,AND(IFERROR(INDEX('Job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hours")),8,MIN(IF(OR(R64&lt;=0,NOT(OR(AND(IFERROR(INDEX('Job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8"),FALSE))))),MIN(8,R65)*R64,R64*R65)))),MAX(0,40*MAX(1,R64)-(0))))</f>
        <v>8</v>
      </c>
      <c r="S66" s="61">
        <f>IF(AND(S64=1,S65=8,AND(IFERROR(INDEX('Job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hours")),8,MIN(IF(OR(S64&lt;=0,NOT(OR(AND(IFERROR(INDEX('Job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8"),FALSE))))),MIN(8,S65)*S64,S64*S65)))),MAX(0,40*MAX(1,S64)-(R66))))</f>
        <v>8</v>
      </c>
      <c r="T66" s="61">
        <f>IF(AND(T64=1,T65=8,AND(IFERROR(INDEX('Job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hours")),8,MIN(IF(OR(T64&lt;=0,NOT(OR(AND(IFERROR(INDEX('Job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8"),FALSE))))),MIN(8,T65)*T64,T64*T65)))),MAX(0,40*MAX(1,T64)-(R66+S66))))</f>
        <v>8</v>
      </c>
      <c r="U66" s="61">
        <f>IF(AND(U64=1,U65=12,AND(IFERROR(INDEX('Job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setup'!I$7:I$11,0)),"")=0))),8,MIN(IF(OR(U64&lt;=0,NOT(OR(AND(IFERROR(INDEX('Job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8"),FALSE))))),MIN(8,U65)*U64,U64*U65)))),MAX(0,40*MAX(1,U64)-(0))))</f>
        <v>8</v>
      </c>
      <c r="V66" s="61">
        <f>IF(AND(V64=1,V65=12,AND(IFERROR(INDEX('Job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setup'!I$7:I$11,0)),"")=0))),8,MIN(IF(OR(V64&lt;=0,NOT(OR(AND(IFERROR(INDEX('Job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8"),FALSE))))),MIN(8,V65)*V64,V64*V65)))),MAX(0,40*MAX(1,V64)-(U66))))</f>
        <v>8</v>
      </c>
      <c r="W66" s="62">
        <f>IF(AND(W64=1,W65=12,AND(IFERROR(INDEX('Job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setup'!I$7:I$11,0)),"")=0))),0,MIN(IF(OR(W64&lt;=0,NOT(OR(AND(IFERROR(INDEX('Job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8"),FALSE))))),MIN(8,W65)*W64,W64*W65)))),MAX(0,40*MAX(1,W64)-(U66+V66))))</f>
        <v>0</v>
      </c>
      <c r="X66" s="62">
        <f>IF(AND(X64=1,X65=12,AND(IFERROR(INDEX('Job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setup'!I$7:I$11,0)),"")=0))),0,MIN(IF(OR(X64&lt;=0,NOT(OR(AND(IFERROR(INDEX('Job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8"),FALSE))))),MIN(8,X65)*X64,X64*X65)))),MAX(0,40*MAX(1,X64)-(U66+V66+W66))))</f>
        <v>0</v>
      </c>
      <c r="Y66" s="61">
        <f>IF(AND(Y64=1,Y65=12,AND(IFERROR(INDEX('Job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setup'!I$7:I$11,0)),"")=0))),8,MIN(IF(OR(Y64&lt;=0,NOT(OR(AND(IFERROR(INDEX('Job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8"),FALSE))))),MIN(8,Y65)*Y64,Y64*Y65)))),MAX(0,40*MAX(1,Y64)-(0))))</f>
        <v>8</v>
      </c>
      <c r="Z66" s="61">
        <f>IF(AND(Z64=1,Z65=12,AND(IFERROR(INDEX('Job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setup'!I$7:I$11,0)),"")=0))),8,MIN(IF(OR(Z64&lt;=0,NOT(OR(AND(IFERROR(INDEX('Job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8"),FALSE))))),MIN(8,Z65)*Z64,Z64*Z65)))),MAX(0,40*MAX(1,Z64)-(Y66))))</f>
        <v>8</v>
      </c>
      <c r="AA66" s="61">
        <f>IF(AND(AA64=1,AA65=12,AND(IFERROR(INDEX('Job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setup'!I$7:I$11,0)),"")=0))),8,MIN(IF(OR(AA64&lt;=0,NOT(OR(AND(IFERROR(INDEX('Job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8"),FALSE))))),MIN(8,AA65)*AA64,AA64*AA65)))),MAX(0,40*MAX(1,AA64)-(Y66+Z66))))</f>
        <v>8</v>
      </c>
      <c r="AB66" s="61">
        <f>IF(AND(AB64=1,AB65=12,AND(IFERROR(INDEX('Job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setup'!I$7:I$11,0)),"")=0))),8,MIN(IF(OR(AB64&lt;=0,NOT(OR(AND(IFERROR(INDEX('Job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8"),FALSE))))),MIN(8,AB65)*AB64,AB64*AB65)))),MAX(0,40*MAX(1,AB64)-(Y66+Z66+AA66))))</f>
        <v>8</v>
      </c>
      <c r="AC66" s="61">
        <f>IF(AND(AC64=1,AC65=12,AND(IFERROR(INDEX('Job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setup'!I$7:I$11,0)),"")=0))),8,MIN(IF(OR(AC64&lt;=0,NOT(OR(AND(IFERROR(INDEX('Job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8"),FALSE))))),MIN(8,AC65)*AC64,AC64*AC65)))),MAX(0,40*MAX(1,AC64)-(Y66+Z66+AA66+AB66))))</f>
        <v>8</v>
      </c>
      <c r="AD66" s="62">
        <f>IF(AND(AD64=1,AD65=12,AND(IFERROR(INDEX('Job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setup'!I$7:I$11,0)),"")=0))),0,MIN(IF(OR(AD64&lt;=0,NOT(OR(AND(IFERROR(INDEX('Job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8"),FALSE))))),MIN(8,AD65)*AD64,AD64*AD65)))),MAX(0,40*MAX(1,AD64)-(Y66+Z66+AA66+AB66+AC66))))</f>
        <v>0</v>
      </c>
      <c r="AE66" s="62">
        <f>IF(AND(AE64=1,AE65=12,AND(IFERROR(INDEX('Job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setup'!I$7:I$11,0)),"")=0))),0,MIN(IF(OR(AE64&lt;=0,NOT(OR(AND(IFERROR(INDEX('Job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8"),FALSE))))),MIN(8,AE65)*AE64,AE64*AE65)))),MAX(0,40*MAX(1,AE64)-(Y66+Z66+AA66+AB66+AC66+AD66))))</f>
        <v>0</v>
      </c>
      <c r="AF66" s="61">
        <f>IF(AND(AF64=1,AF65=12,AND(IFERROR(INDEX('Job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setup'!I$7:I$11,0)),"")=0))),8,MIN(IF(OR(AF64&lt;=0,NOT(OR(AND(IFERROR(INDEX('Job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8"),FALSE))))),MIN(8,AF65)*AF64,AF64*AF65)))),MAX(0,40*MAX(1,AF64)-(0))))</f>
        <v>8</v>
      </c>
      <c r="AG66" s="61">
        <f>IF(AND(AG64=1,AG65=12,AND(IFERROR(INDEX('Job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setup'!I$7:I$11,0)),"")=0))),8,MIN(IF(OR(AG64&lt;=0,NOT(OR(AND(IFERROR(INDEX('Job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8"),FALSE))))),MIN(8,AG65)*AG64,AG64*AG65)))),MAX(0,40*MAX(1,AG64)-(AF66))))</f>
        <v>8</v>
      </c>
      <c r="AH66" s="61">
        <f>IF(AND(AH64=1,AH65=12,AND(IFERROR(INDEX('Job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setup'!I$7:I$11,0)),"")=0))),8,MIN(IF(OR(AH64&lt;=0,NOT(OR(AND(IFERROR(INDEX('Job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8"),FALSE))))),MIN(8,AH65)*AH64,AH64*AH65)))),MAX(0,40*MAX(1,AH64)-(AF66+AG66))))</f>
        <v>8</v>
      </c>
      <c r="AI66" s="61">
        <f>IF(AND(AI64=0,AI65=0,AND(IFERROR(INDEX('Job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hours")),0,MIN(IF(OR(AI64&lt;=0,NOT(OR(AND(IFERROR(INDEX('Job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8"),FALSE))))),MIN(8,AI65)*AI64,AI64*AI65)))),MAX(0,40*MAX(1,AI64)-(0))))</f>
        <v>0</v>
      </c>
      <c r="AJ66" s="61">
        <f>IF(AND(AJ64=0,AJ65=0,AND(IFERROR(INDEX('Job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hours")),0,MIN(IF(OR(AJ64&lt;=0,NOT(OR(AND(IFERROR(INDEX('Job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8"),FALSE))))),MIN(8,AJ65)*AJ64,AJ64*AJ65)))),MAX(0,40*MAX(1,AJ64)-(AI66))))</f>
        <v>0</v>
      </c>
      <c r="AK66" s="62">
        <f>IF(AND(AK64=0,AK65=0,AND(IFERROR(INDEX('Job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hours")),0,MIN(IF(OR(AK64&lt;=0,NOT(OR(AND(IFERROR(INDEX('Job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8"),FALSE))))),MIN(8,AK65)*AK64,AK64*AK65)))),MAX(0,40*MAX(1,AK64)-(AI66+AJ66))))</f>
        <v>0</v>
      </c>
      <c r="AL66" s="62">
        <f>IF(AND(AL64=0,AL65=0,AND(IFERROR(INDEX('Job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hours")),0,MIN(IF(OR(AL64&lt;=0,NOT(OR(AND(IFERROR(INDEX('Job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8"),FALSE))))),MIN(8,AL65)*AL64,AL64*AL65)))),MAX(0,40*MAX(1,AL64)-(AI66+AJ66+AK66))))</f>
        <v>0</v>
      </c>
      <c r="AM66" s="61">
        <f>IF(AND(AM64=0,AM65=0,AND(IFERROR(INDEX('Job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hours")),0,MIN(IF(OR(AM64&lt;=0,NOT(OR(AND(IFERROR(INDEX('Job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8"),FALSE))))),MIN(8,AM65)*AM64,AM64*AM65)))),MAX(0,40*MAX(1,AM64)-(0))))</f>
        <v>0</v>
      </c>
      <c r="AN66" s="61">
        <f>IF(AND(AN64=0,AN65=0,AND(IFERROR(INDEX('Job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hours")),0,MIN(IF(OR(AN64&lt;=0,NOT(OR(AND(IFERROR(INDEX('Job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8"),FALSE))))),MIN(8,AN65)*AN64,AN64*AN65)))),MAX(0,40*MAX(1,AN64)-(AM66))))</f>
        <v>0</v>
      </c>
      <c r="AO66" s="61">
        <f>IF(AND(AO64=0,AO65=0,AND(IFERROR(INDEX('Job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hours")),0,MIN(IF(OR(AO64&lt;=0,NOT(OR(AND(IFERROR(INDEX('Job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8"),FALSE))))),MIN(8,AO65)*AO64,AO64*AO65)))),MAX(0,40*MAX(1,AO64)-(AM66+AN66))))</f>
        <v>0</v>
      </c>
      <c r="AP66" s="63">
        <f>IF(AND(AP64=0,AP65=0,AND(IFERROR(INDEX('Job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hours")),0,MIN(IF(OR(AP64&lt;=0,NOT(OR(AND(IFERROR(INDEX('Job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8"),FALSE))))),MIN(8,AP65)*AP64,AP64*AP65)))),MAX(0,40*MAX(1,AP64)-(AM66+AN66+AO66))))</f>
        <v>0</v>
      </c>
      <c r="OU66" s="28" t="s">
        <v>76</v>
      </c>
    </row>
    <row r="67" ht="16" customHeight="1" spans="1:411" x14ac:dyDescent="0.25">
      <c r="A67" s="72"/>
      <c r="B67" s="44"/>
      <c r="C67" s="64">
        <f>G63*N(D67)</f>
        <v>10003.84</v>
      </c>
      <c r="D67" s="64">
        <f>IF(TRIM(B63)="","No rate",IFERROR(INDEX('Rate Tables'!D$7:D$161,MATCH(B63,'Rate Tables'!A$7:A$161,0)),"No rate"))</f>
        <v>156.31</v>
      </c>
      <c r="E67" s="53" t="s">
        <v>63</v>
      </c>
      <c r="F67" s="47"/>
      <c r="G67" s="47"/>
      <c r="H67" s="47"/>
      <c r="I67" s="47"/>
      <c r="J67" s="48"/>
      <c r="K67" s="60">
        <f>IF(AND(K64=1,K65=8,AND(IFERROR(INDEX('Job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hours")),0,IF(OR(K64&lt;=0,NOT(OR(AND(IFERROR(INDEX('Job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setup'!I$7:I$11,0)),"")&gt;=K$6)))),0,IF(WEEKDAY(K$6,1)=1,0,IF(WEEKDAY(K$6,1)=7,K64*K65,IF(IF(AND(IFERROR(INDEX('Job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8"),FALSE))))),MAX(0,K65-8)*K64,0))))+((IF(OR(K64&lt;=0,NOT(OR(AND(IFERROR(INDEX('Job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8"),FALSE))))),MIN(8,K65)*K64,K64*K65)))))-MIN(IF(OR(K64&lt;=0,NOT(OR(AND(IFERROR(INDEX('Job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8"),FALSE))))),MIN(8,K65)*K64,K64*K65)))),MAX(0,40*MAX(1,K64)-(0)))))</f>
        <v>0</v>
      </c>
      <c r="L67" s="61">
        <f>IF(AND(L64=1,L65=8,AND(IFERROR(INDEX('Job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hours")),0,IF(OR(L64&lt;=0,NOT(OR(AND(IFERROR(INDEX('Job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setup'!I$7:I$11,0)),"")&gt;=L$6)))),0,IF(WEEKDAY(L$6,1)=1,0,IF(WEEKDAY(L$6,1)=7,L64*L65,IF(IF(AND(IFERROR(INDEX('Job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8"),FALSE))))),MAX(0,L65-8)*L64,0))))+((IF(OR(L64&lt;=0,NOT(OR(AND(IFERROR(INDEX('Job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8"),FALSE))))),MIN(8,L65)*L64,L64*L65)))))-MIN(IF(OR(L64&lt;=0,NOT(OR(AND(IFERROR(INDEX('Job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8"),FALSE))))),MIN(8,L65)*L64,L64*L65)))),MAX(0,40*MAX(1,L64)-(K66)))))</f>
        <v>0</v>
      </c>
      <c r="M67" s="61">
        <f>IF(AND(M64=1,M65=8,AND(IFERROR(INDEX('Job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hours")),0,IF(OR(M64&lt;=0,NOT(OR(AND(IFERROR(INDEX('Job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setup'!I$7:I$11,0)),"")&gt;=M$6)))),0,IF(WEEKDAY(M$6,1)=1,0,IF(WEEKDAY(M$6,1)=7,M64*M65,IF(IF(AND(IFERROR(INDEX('Job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8"),FALSE))))),MAX(0,M65-8)*M64,0))))+((IF(OR(M64&lt;=0,NOT(OR(AND(IFERROR(INDEX('Job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8"),FALSE))))),MIN(8,M65)*M64,M64*M65)))))-MIN(IF(OR(M64&lt;=0,NOT(OR(AND(IFERROR(INDEX('Job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8"),FALSE))))),MIN(8,M65)*M64,M64*M65)))),MAX(0,40*MAX(1,M64)-(K66+L66)))))</f>
        <v>0</v>
      </c>
      <c r="N67" s="61">
        <f>IF(AND(N64=1,N65=8,AND(IFERROR(INDEX('Job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hours")),0,IF(OR(N64&lt;=0,NOT(OR(AND(IFERROR(INDEX('Job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setup'!I$7:I$11,0)),"")&gt;=N$6)))),0,IF(WEEKDAY(N$6,1)=1,0,IF(WEEKDAY(N$6,1)=7,N64*N65,IF(IF(AND(IFERROR(INDEX('Job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8"),FALSE))))),MAX(0,N65-8)*N64,0))))+((IF(OR(N64&lt;=0,NOT(OR(AND(IFERROR(INDEX('Job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8"),FALSE))))),MIN(8,N65)*N64,N64*N65)))))-MIN(IF(OR(N64&lt;=0,NOT(OR(AND(IFERROR(INDEX('Job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8"),FALSE))))),MIN(8,N65)*N64,N64*N65)))),MAX(0,40*MAX(1,N64)-(K66+L66+M66)))))</f>
        <v>0</v>
      </c>
      <c r="O67" s="61">
        <f>IF(AND(O64=1,O65=8,AND(IFERROR(INDEX('Job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hours")),0,IF(OR(O64&lt;=0,NOT(OR(AND(IFERROR(INDEX('Job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setup'!I$7:I$11,0)),"")&gt;=O$6)))),0,IF(WEEKDAY(O$6,1)=1,0,IF(WEEKDAY(O$6,1)=7,O64*O65,IF(IF(AND(IFERROR(INDEX('Job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8"),FALSE))))),MAX(0,O65-8)*O64,0))))+((IF(OR(O64&lt;=0,NOT(OR(AND(IFERROR(INDEX('Job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8"),FALSE))))),MIN(8,O65)*O64,O64*O65)))))-MIN(IF(OR(O64&lt;=0,NOT(OR(AND(IFERROR(INDEX('Job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8"),FALSE))))),MIN(8,O65)*O64,O64*O65)))),MAX(0,40*MAX(1,O64)-(K66+L66+M66+N66)))))</f>
        <v>0</v>
      </c>
      <c r="P67" s="62">
        <f>IF(AND(P64=0,P65=0,AND(IFERROR(INDEX('Job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hours")),0,IF(OR(P64&lt;=0,NOT(OR(AND(IFERROR(INDEX('Job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setup'!I$7:I$11,0)),"")&gt;=P$6)))),0,IF(WEEKDAY(P$6,1)=1,0,IF(WEEKDAY(P$6,1)=7,P64*P65,IF(IF(AND(IFERROR(INDEX('Job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8"),FALSE))))),MAX(0,P65-8)*P64,0))))+((IF(OR(P64&lt;=0,NOT(OR(AND(IFERROR(INDEX('Job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8"),FALSE))))),MIN(8,P65)*P64,P64*P65)))))-MIN(IF(OR(P64&lt;=0,NOT(OR(AND(IFERROR(INDEX('Job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8"),FALSE))))),MIN(8,P65)*P64,P64*P65)))),MAX(0,40*MAX(1,P64)-(0)))))</f>
        <v>0</v>
      </c>
      <c r="Q67" s="62">
        <f>IF(AND(Q64=0,Q65=0,AND(IFERROR(INDEX('Job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hours")),0,IF(OR(Q64&lt;=0,NOT(OR(AND(IFERROR(INDEX('Job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setup'!I$7:I$11,0)),"")&gt;=Q$6)))),0,IF(WEEKDAY(Q$6,1)=1,0,IF(WEEKDAY(Q$6,1)=7,Q64*Q65,IF(IF(AND(IFERROR(INDEX('Job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8"),FALSE))))),MAX(0,Q65-8)*Q64,0))))+((IF(OR(Q64&lt;=0,NOT(OR(AND(IFERROR(INDEX('Job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8"),FALSE))))),MIN(8,Q65)*Q64,Q64*Q65)))))-MIN(IF(OR(Q64&lt;=0,NOT(OR(AND(IFERROR(INDEX('Job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8"),FALSE))))),MIN(8,Q65)*Q64,Q64*Q65)))),MAX(0,40*MAX(1,Q64)-(P66)))))</f>
        <v>0</v>
      </c>
      <c r="R67" s="61">
        <f>IF(AND(R64=1,R65=8,AND(IFERROR(INDEX('Job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hours")),0,IF(OR(R64&lt;=0,NOT(OR(AND(IFERROR(INDEX('Job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setup'!I$7:I$11,0)),"")&gt;=R$6)))),0,IF(WEEKDAY(R$6,1)=1,0,IF(WEEKDAY(R$6,1)=7,R64*R65,IF(IF(AND(IFERROR(INDEX('Job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8"),FALSE))))),MAX(0,R65-8)*R64,0))))+((IF(OR(R64&lt;=0,NOT(OR(AND(IFERROR(INDEX('Job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8"),FALSE))))),MIN(8,R65)*R64,R64*R65)))))-MIN(IF(OR(R64&lt;=0,NOT(OR(AND(IFERROR(INDEX('Job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8"),FALSE))))),MIN(8,R65)*R64,R64*R65)))),MAX(0,40*MAX(1,R64)-(0)))))</f>
        <v>0</v>
      </c>
      <c r="S67" s="61">
        <f>IF(AND(S64=1,S65=8,AND(IFERROR(INDEX('Job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hours")),0,IF(OR(S64&lt;=0,NOT(OR(AND(IFERROR(INDEX('Job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setup'!I$7:I$11,0)),"")&gt;=S$6)))),0,IF(WEEKDAY(S$6,1)=1,0,IF(WEEKDAY(S$6,1)=7,S64*S65,IF(IF(AND(IFERROR(INDEX('Job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8"),FALSE))))),MAX(0,S65-8)*S64,0))))+((IF(OR(S64&lt;=0,NOT(OR(AND(IFERROR(INDEX('Job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8"),FALSE))))),MIN(8,S65)*S64,S64*S65)))))-MIN(IF(OR(S64&lt;=0,NOT(OR(AND(IFERROR(INDEX('Job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8"),FALSE))))),MIN(8,S65)*S64,S64*S65)))),MAX(0,40*MAX(1,S64)-(R66)))))</f>
        <v>0</v>
      </c>
      <c r="T67" s="61">
        <f>IF(AND(T64=1,T65=8,AND(IFERROR(INDEX('Job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hours")),0,IF(OR(T64&lt;=0,NOT(OR(AND(IFERROR(INDEX('Job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setup'!I$7:I$11,0)),"")&gt;=T$6)))),0,IF(WEEKDAY(T$6,1)=1,0,IF(WEEKDAY(T$6,1)=7,T64*T65,IF(IF(AND(IFERROR(INDEX('Job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8"),FALSE))))),MAX(0,T65-8)*T64,0))))+((IF(OR(T64&lt;=0,NOT(OR(AND(IFERROR(INDEX('Job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8"),FALSE))))),MIN(8,T65)*T64,T64*T65)))))-MIN(IF(OR(T64&lt;=0,NOT(OR(AND(IFERROR(INDEX('Job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8"),FALSE))))),MIN(8,T65)*T64,T64*T65)))),MAX(0,40*MAX(1,T64)-(R66+S66)))))</f>
        <v>0</v>
      </c>
      <c r="U67" s="61">
        <f>IF(AND(U64=1,U65=12,AND(IFERROR(INDEX('Job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setup'!I$7:I$11,0)),"")=0))),4,IF(OR(U64&lt;=0,NOT(OR(AND(IFERROR(INDEX('Job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setup'!I$7:I$11,0)),"")&gt;=U$6)))),0,IF(WEEKDAY(U$6,1)=1,0,IF(WEEKDAY(U$6,1)=7,U64*U65,IF(IF(AND(IFERROR(INDEX('Job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8"),FALSE))))),MAX(0,U65-8)*U64,0))))+((IF(OR(U64&lt;=0,NOT(OR(AND(IFERROR(INDEX('Job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8"),FALSE))))),MIN(8,U65)*U64,U64*U65)))))-MIN(IF(OR(U64&lt;=0,NOT(OR(AND(IFERROR(INDEX('Job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8"),FALSE))))),MIN(8,U65)*U64,U64*U65)))),MAX(0,40*MAX(1,U64)-(0)))))</f>
        <v>4</v>
      </c>
      <c r="V67" s="61">
        <f>IF(AND(V64=1,V65=12,AND(IFERROR(INDEX('Job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setup'!I$7:I$11,0)),"")=0))),4,IF(OR(V64&lt;=0,NOT(OR(AND(IFERROR(INDEX('Job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setup'!I$7:I$11,0)),"")&gt;=V$6)))),0,IF(WEEKDAY(V$6,1)=1,0,IF(WEEKDAY(V$6,1)=7,V64*V65,IF(IF(AND(IFERROR(INDEX('Job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8"),FALSE))))),MAX(0,V65-8)*V64,0))))+((IF(OR(V64&lt;=0,NOT(OR(AND(IFERROR(INDEX('Job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8"),FALSE))))),MIN(8,V65)*V64,V64*V65)))))-MIN(IF(OR(V64&lt;=0,NOT(OR(AND(IFERROR(INDEX('Job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8"),FALSE))))),MIN(8,V65)*V64,V64*V65)))),MAX(0,40*MAX(1,V64)-(U66)))))</f>
        <v>4</v>
      </c>
      <c r="W67" s="62">
        <f>IF(AND(W64=1,W65=12,AND(IFERROR(INDEX('Job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setup'!I$7:I$11,0)),"")=0))),12,IF(OR(W64&lt;=0,NOT(OR(AND(IFERROR(INDEX('Job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setup'!I$7:I$11,0)),"")&gt;=W$6)))),0,IF(WEEKDAY(W$6,1)=1,0,IF(WEEKDAY(W$6,1)=7,W64*W65,IF(IF(AND(IFERROR(INDEX('Job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8"),FALSE))))),MAX(0,W65-8)*W64,0))))+((IF(OR(W64&lt;=0,NOT(OR(AND(IFERROR(INDEX('Job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8"),FALSE))))),MIN(8,W65)*W64,W64*W65)))))-MIN(IF(OR(W64&lt;=0,NOT(OR(AND(IFERROR(INDEX('Job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8"),FALSE))))),MIN(8,W65)*W64,W64*W65)))),MAX(0,40*MAX(1,W64)-(U66+V66)))))</f>
        <v>12</v>
      </c>
      <c r="X67" s="62">
        <f>IF(AND(X64=1,X65=12,AND(IFERROR(INDEX('Job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setup'!I$7:I$11,0)),"")=0))),0,IF(OR(X64&lt;=0,NOT(OR(AND(IFERROR(INDEX('Job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setup'!I$7:I$11,0)),"")&gt;=X$6)))),0,IF(WEEKDAY(X$6,1)=1,0,IF(WEEKDAY(X$6,1)=7,X64*X65,IF(IF(AND(IFERROR(INDEX('Job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8"),FALSE))))),MAX(0,X65-8)*X64,0))))+((IF(OR(X64&lt;=0,NOT(OR(AND(IFERROR(INDEX('Job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8"),FALSE))))),MIN(8,X65)*X64,X64*X65)))))-MIN(IF(OR(X64&lt;=0,NOT(OR(AND(IFERROR(INDEX('Job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8"),FALSE))))),MIN(8,X65)*X64,X64*X65)))),MAX(0,40*MAX(1,X64)-(U66+V66+W66)))))</f>
        <v>0</v>
      </c>
      <c r="Y67" s="61">
        <f>IF(AND(Y64=1,Y65=12,AND(IFERROR(INDEX('Job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setup'!I$7:I$11,0)),"")=0))),4,IF(OR(Y64&lt;=0,NOT(OR(AND(IFERROR(INDEX('Job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setup'!I$7:I$11,0)),"")&gt;=Y$6)))),0,IF(WEEKDAY(Y$6,1)=1,0,IF(WEEKDAY(Y$6,1)=7,Y64*Y65,IF(IF(AND(IFERROR(INDEX('Job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8"),FALSE))))),MAX(0,Y65-8)*Y64,0))))+((IF(OR(Y64&lt;=0,NOT(OR(AND(IFERROR(INDEX('Job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8"),FALSE))))),MIN(8,Y65)*Y64,Y64*Y65)))))-MIN(IF(OR(Y64&lt;=0,NOT(OR(AND(IFERROR(INDEX('Job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8"),FALSE))))),MIN(8,Y65)*Y64,Y64*Y65)))),MAX(0,40*MAX(1,Y64)-(0)))))</f>
        <v>4</v>
      </c>
      <c r="Z67" s="61">
        <f>IF(AND(Z64=1,Z65=12,AND(IFERROR(INDEX('Job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setup'!I$7:I$11,0)),"")=0))),4,IF(OR(Z64&lt;=0,NOT(OR(AND(IFERROR(INDEX('Job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setup'!I$7:I$11,0)),"")&gt;=Z$6)))),0,IF(WEEKDAY(Z$6,1)=1,0,IF(WEEKDAY(Z$6,1)=7,Z64*Z65,IF(IF(AND(IFERROR(INDEX('Job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8"),FALSE))))),MAX(0,Z65-8)*Z64,0))))+((IF(OR(Z64&lt;=0,NOT(OR(AND(IFERROR(INDEX('Job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8"),FALSE))))),MIN(8,Z65)*Z64,Z64*Z65)))))-MIN(IF(OR(Z64&lt;=0,NOT(OR(AND(IFERROR(INDEX('Job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8"),FALSE))))),MIN(8,Z65)*Z64,Z64*Z65)))),MAX(0,40*MAX(1,Z64)-(Y66)))))</f>
        <v>4</v>
      </c>
      <c r="AA67" s="61">
        <f>IF(AND(AA64=1,AA65=12,AND(IFERROR(INDEX('Job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setup'!I$7:I$11,0)),"")=0))),4,IF(OR(AA64&lt;=0,NOT(OR(AND(IFERROR(INDEX('Job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setup'!I$7:I$11,0)),"")&gt;=AA$6)))),0,IF(WEEKDAY(AA$6,1)=1,0,IF(WEEKDAY(AA$6,1)=7,AA64*AA65,IF(IF(AND(IFERROR(INDEX('Job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8"),FALSE))))),MAX(0,AA65-8)*AA64,0))))+((IF(OR(AA64&lt;=0,NOT(OR(AND(IFERROR(INDEX('Job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8"),FALSE))))),MIN(8,AA65)*AA64,AA64*AA65)))))-MIN(IF(OR(AA64&lt;=0,NOT(OR(AND(IFERROR(INDEX('Job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8"),FALSE))))),MIN(8,AA65)*AA64,AA64*AA65)))),MAX(0,40*MAX(1,AA64)-(Y66+Z66)))))</f>
        <v>4</v>
      </c>
      <c r="AB67" s="61">
        <f>IF(AND(AB64=1,AB65=12,AND(IFERROR(INDEX('Job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setup'!I$7:I$11,0)),"")=0))),4,IF(OR(AB64&lt;=0,NOT(OR(AND(IFERROR(INDEX('Job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setup'!I$7:I$11,0)),"")&gt;=AB$6)))),0,IF(WEEKDAY(AB$6,1)=1,0,IF(WEEKDAY(AB$6,1)=7,AB64*AB65,IF(IF(AND(IFERROR(INDEX('Job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8"),FALSE))))),MAX(0,AB65-8)*AB64,0))))+((IF(OR(AB64&lt;=0,NOT(OR(AND(IFERROR(INDEX('Job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8"),FALSE))))),MIN(8,AB65)*AB64,AB64*AB65)))))-MIN(IF(OR(AB64&lt;=0,NOT(OR(AND(IFERROR(INDEX('Job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8"),FALSE))))),MIN(8,AB65)*AB64,AB64*AB65)))),MAX(0,40*MAX(1,AB64)-(Y66+Z66+AA66)))))</f>
        <v>4</v>
      </c>
      <c r="AC67" s="61">
        <f>IF(AND(AC64=1,AC65=12,AND(IFERROR(INDEX('Job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setup'!I$7:I$11,0)),"")=0))),4,IF(OR(AC64&lt;=0,NOT(OR(AND(IFERROR(INDEX('Job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setup'!I$7:I$11,0)),"")&gt;=AC$6)))),0,IF(WEEKDAY(AC$6,1)=1,0,IF(WEEKDAY(AC$6,1)=7,AC64*AC65,IF(IF(AND(IFERROR(INDEX('Job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8"),FALSE))))),MAX(0,AC65-8)*AC64,0))))+((IF(OR(AC64&lt;=0,NOT(OR(AND(IFERROR(INDEX('Job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8"),FALSE))))),MIN(8,AC65)*AC64,AC64*AC65)))))-MIN(IF(OR(AC64&lt;=0,NOT(OR(AND(IFERROR(INDEX('Job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8"),FALSE))))),MIN(8,AC65)*AC64,AC64*AC65)))),MAX(0,40*MAX(1,AC64)-(Y66+Z66+AA66+AB66)))))</f>
        <v>4</v>
      </c>
      <c r="AD67" s="62">
        <f>IF(AND(AD64=1,AD65=12,AND(IFERROR(INDEX('Job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setup'!I$7:I$11,0)),"")=0))),12,IF(OR(AD64&lt;=0,NOT(OR(AND(IFERROR(INDEX('Job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setup'!I$7:I$11,0)),"")&gt;=AD$6)))),0,IF(WEEKDAY(AD$6,1)=1,0,IF(WEEKDAY(AD$6,1)=7,AD64*AD65,IF(IF(AND(IFERROR(INDEX('Job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8"),FALSE))))),MAX(0,AD65-8)*AD64,0))))+((IF(OR(AD64&lt;=0,NOT(OR(AND(IFERROR(INDEX('Job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8"),FALSE))))),MIN(8,AD65)*AD64,AD64*AD65)))))-MIN(IF(OR(AD64&lt;=0,NOT(OR(AND(IFERROR(INDEX('Job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8"),FALSE))))),MIN(8,AD65)*AD64,AD64*AD65)))),MAX(0,40*MAX(1,AD64)-(Y66+Z66+AA66+AB66+AC66)))))</f>
        <v>12</v>
      </c>
      <c r="AE67" s="62">
        <f>IF(AND(AE64=1,AE65=12,AND(IFERROR(INDEX('Job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setup'!I$7:I$11,0)),"")=0))),0,IF(OR(AE64&lt;=0,NOT(OR(AND(IFERROR(INDEX('Job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setup'!I$7:I$11,0)),"")&gt;=AE$6)))),0,IF(WEEKDAY(AE$6,1)=1,0,IF(WEEKDAY(AE$6,1)=7,AE64*AE65,IF(IF(AND(IFERROR(INDEX('Job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8"),FALSE))))),MAX(0,AE65-8)*AE64,0))))+((IF(OR(AE64&lt;=0,NOT(OR(AND(IFERROR(INDEX('Job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8"),FALSE))))),MIN(8,AE65)*AE64,AE64*AE65)))))-MIN(IF(OR(AE64&lt;=0,NOT(OR(AND(IFERROR(INDEX('Job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8"),FALSE))))),MIN(8,AE65)*AE64,AE64*AE65)))),MAX(0,40*MAX(1,AE64)-(Y66+Z66+AA66+AB66+AC66+AD66)))))</f>
        <v>0</v>
      </c>
      <c r="AF67" s="61">
        <f>IF(AND(AF64=1,AF65=12,AND(IFERROR(INDEX('Job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setup'!I$7:I$11,0)),"")=0))),4,IF(OR(AF64&lt;=0,NOT(OR(AND(IFERROR(INDEX('Job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setup'!I$7:I$11,0)),"")&gt;=AF$6)))),0,IF(WEEKDAY(AF$6,1)=1,0,IF(WEEKDAY(AF$6,1)=7,AF64*AF65,IF(IF(AND(IFERROR(INDEX('Job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8"),FALSE))))),MAX(0,AF65-8)*AF64,0))))+((IF(OR(AF64&lt;=0,NOT(OR(AND(IFERROR(INDEX('Job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8"),FALSE))))),MIN(8,AF65)*AF64,AF64*AF65)))))-MIN(IF(OR(AF64&lt;=0,NOT(OR(AND(IFERROR(INDEX('Job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8"),FALSE))))),MIN(8,AF65)*AF64,AF64*AF65)))),MAX(0,40*MAX(1,AF64)-(0)))))</f>
        <v>4</v>
      </c>
      <c r="AG67" s="61">
        <f>IF(AND(AG64=1,AG65=12,AND(IFERROR(INDEX('Job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setup'!I$7:I$11,0)),"")=0))),4,IF(OR(AG64&lt;=0,NOT(OR(AND(IFERROR(INDEX('Job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setup'!I$7:I$11,0)),"")&gt;=AG$6)))),0,IF(WEEKDAY(AG$6,1)=1,0,IF(WEEKDAY(AG$6,1)=7,AG64*AG65,IF(IF(AND(IFERROR(INDEX('Job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8"),FALSE))))),MAX(0,AG65-8)*AG64,0))))+((IF(OR(AG64&lt;=0,NOT(OR(AND(IFERROR(INDEX('Job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8"),FALSE))))),MIN(8,AG65)*AG64,AG64*AG65)))))-MIN(IF(OR(AG64&lt;=0,NOT(OR(AND(IFERROR(INDEX('Job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8"),FALSE))))),MIN(8,AG65)*AG64,AG64*AG65)))),MAX(0,40*MAX(1,AG64)-(AF66)))))</f>
        <v>4</v>
      </c>
      <c r="AH67" s="61">
        <f>IF(AND(AH64=1,AH65=12,AND(IFERROR(INDEX('Job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setup'!I$7:I$11,0)),"")=0))),4,IF(OR(AH64&lt;=0,NOT(OR(AND(IFERROR(INDEX('Job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setup'!I$7:I$11,0)),"")&gt;=AH$6)))),0,IF(WEEKDAY(AH$6,1)=1,0,IF(WEEKDAY(AH$6,1)=7,AH64*AH65,IF(IF(AND(IFERROR(INDEX('Job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8"),FALSE))))),MAX(0,AH65-8)*AH64,0))))+((IF(OR(AH64&lt;=0,NOT(OR(AND(IFERROR(INDEX('Job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8"),FALSE))))),MIN(8,AH65)*AH64,AH64*AH65)))))-MIN(IF(OR(AH64&lt;=0,NOT(OR(AND(IFERROR(INDEX('Job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8"),FALSE))))),MIN(8,AH65)*AH64,AH64*AH65)))),MAX(0,40*MAX(1,AH64)-(AF66+AG66)))))</f>
        <v>4</v>
      </c>
      <c r="AI67" s="61">
        <f>IF(AND(AI64=0,AI65=0,AND(IFERROR(INDEX('Job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hours")),0,IF(OR(AI64&lt;=0,NOT(OR(AND(IFERROR(INDEX('Job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setup'!I$7:I$11,0)),"")&gt;=AI$6)))),0,IF(WEEKDAY(AI$6,1)=1,0,IF(WEEKDAY(AI$6,1)=7,AI64*AI65,IF(IF(AND(IFERROR(INDEX('Job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8"),FALSE))))),MAX(0,AI65-8)*AI64,0))))+((IF(OR(AI64&lt;=0,NOT(OR(AND(IFERROR(INDEX('Job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8"),FALSE))))),MIN(8,AI65)*AI64,AI64*AI65)))))-MIN(IF(OR(AI64&lt;=0,NOT(OR(AND(IFERROR(INDEX('Job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8"),FALSE))))),MIN(8,AI65)*AI64,AI64*AI65)))),MAX(0,40*MAX(1,AI64)-(0)))))</f>
        <v>0</v>
      </c>
      <c r="AJ67" s="61">
        <f>IF(AND(AJ64=0,AJ65=0,AND(IFERROR(INDEX('Job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hours")),0,IF(OR(AJ64&lt;=0,NOT(OR(AND(IFERROR(INDEX('Job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setup'!I$7:I$11,0)),"")&gt;=AJ$6)))),0,IF(WEEKDAY(AJ$6,1)=1,0,IF(WEEKDAY(AJ$6,1)=7,AJ64*AJ65,IF(IF(AND(IFERROR(INDEX('Job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8"),FALSE))))),MAX(0,AJ65-8)*AJ64,0))))+((IF(OR(AJ64&lt;=0,NOT(OR(AND(IFERROR(INDEX('Job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8"),FALSE))))),MIN(8,AJ65)*AJ64,AJ64*AJ65)))))-MIN(IF(OR(AJ64&lt;=0,NOT(OR(AND(IFERROR(INDEX('Job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8"),FALSE))))),MIN(8,AJ65)*AJ64,AJ64*AJ65)))),MAX(0,40*MAX(1,AJ64)-(AI66)))))</f>
        <v>0</v>
      </c>
      <c r="AK67" s="62">
        <f>IF(AND(AK64=0,AK65=0,AND(IFERROR(INDEX('Job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hours")),0,IF(OR(AK64&lt;=0,NOT(OR(AND(IFERROR(INDEX('Job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setup'!I$7:I$11,0)),"")&gt;=AK$6)))),0,IF(WEEKDAY(AK$6,1)=1,0,IF(WEEKDAY(AK$6,1)=7,AK64*AK65,IF(IF(AND(IFERROR(INDEX('Job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8"),FALSE))))),MAX(0,AK65-8)*AK64,0))))+((IF(OR(AK64&lt;=0,NOT(OR(AND(IFERROR(INDEX('Job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8"),FALSE))))),MIN(8,AK65)*AK64,AK64*AK65)))))-MIN(IF(OR(AK64&lt;=0,NOT(OR(AND(IFERROR(INDEX('Job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8"),FALSE))))),MIN(8,AK65)*AK64,AK64*AK65)))),MAX(0,40*MAX(1,AK64)-(AI66+AJ66)))))</f>
        <v>0</v>
      </c>
      <c r="AL67" s="62">
        <f>IF(AND(AL64=0,AL65=0,AND(IFERROR(INDEX('Job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hours")),0,IF(OR(AL64&lt;=0,NOT(OR(AND(IFERROR(INDEX('Job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setup'!I$7:I$11,0)),"")&gt;=AL$6)))),0,IF(WEEKDAY(AL$6,1)=1,0,IF(WEEKDAY(AL$6,1)=7,AL64*AL65,IF(IF(AND(IFERROR(INDEX('Job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8"),FALSE))))),MAX(0,AL65-8)*AL64,0))))+((IF(OR(AL64&lt;=0,NOT(OR(AND(IFERROR(INDEX('Job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8"),FALSE))))),MIN(8,AL65)*AL64,AL64*AL65)))))-MIN(IF(OR(AL64&lt;=0,NOT(OR(AND(IFERROR(INDEX('Job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8"),FALSE))))),MIN(8,AL65)*AL64,AL64*AL65)))),MAX(0,40*MAX(1,AL64)-(AI66+AJ66+AK66)))))</f>
        <v>0</v>
      </c>
      <c r="AM67" s="61">
        <f>IF(AND(AM64=0,AM65=0,AND(IFERROR(INDEX('Job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hours")),0,IF(OR(AM64&lt;=0,NOT(OR(AND(IFERROR(INDEX('Job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setup'!I$7:I$11,0)),"")&gt;=AM$6)))),0,IF(WEEKDAY(AM$6,1)=1,0,IF(WEEKDAY(AM$6,1)=7,AM64*AM65,IF(IF(AND(IFERROR(INDEX('Job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8"),FALSE))))),MAX(0,AM65-8)*AM64,0))))+((IF(OR(AM64&lt;=0,NOT(OR(AND(IFERROR(INDEX('Job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8"),FALSE))))),MIN(8,AM65)*AM64,AM64*AM65)))))-MIN(IF(OR(AM64&lt;=0,NOT(OR(AND(IFERROR(INDEX('Job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8"),FALSE))))),MIN(8,AM65)*AM64,AM64*AM65)))),MAX(0,40*MAX(1,AM64)-(0)))))</f>
        <v>0</v>
      </c>
      <c r="AN67" s="61">
        <f>IF(AND(AN64=0,AN65=0,AND(IFERROR(INDEX('Job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hours")),0,IF(OR(AN64&lt;=0,NOT(OR(AND(IFERROR(INDEX('Job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setup'!I$7:I$11,0)),"")&gt;=AN$6)))),0,IF(WEEKDAY(AN$6,1)=1,0,IF(WEEKDAY(AN$6,1)=7,AN64*AN65,IF(IF(AND(IFERROR(INDEX('Job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8"),FALSE))))),MAX(0,AN65-8)*AN64,0))))+((IF(OR(AN64&lt;=0,NOT(OR(AND(IFERROR(INDEX('Job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8"),FALSE))))),MIN(8,AN65)*AN64,AN64*AN65)))))-MIN(IF(OR(AN64&lt;=0,NOT(OR(AND(IFERROR(INDEX('Job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8"),FALSE))))),MIN(8,AN65)*AN64,AN64*AN65)))),MAX(0,40*MAX(1,AN64)-(AM66)))))</f>
        <v>0</v>
      </c>
      <c r="AO67" s="61">
        <f>IF(AND(AO64=0,AO65=0,AND(IFERROR(INDEX('Job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hours")),0,IF(OR(AO64&lt;=0,NOT(OR(AND(IFERROR(INDEX('Job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setup'!I$7:I$11,0)),"")&gt;=AO$6)))),0,IF(WEEKDAY(AO$6,1)=1,0,IF(WEEKDAY(AO$6,1)=7,AO64*AO65,IF(IF(AND(IFERROR(INDEX('Job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8"),FALSE))))),MAX(0,AO65-8)*AO64,0))))+((IF(OR(AO64&lt;=0,NOT(OR(AND(IFERROR(INDEX('Job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8"),FALSE))))),MIN(8,AO65)*AO64,AO64*AO65)))))-MIN(IF(OR(AO64&lt;=0,NOT(OR(AND(IFERROR(INDEX('Job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8"),FALSE))))),MIN(8,AO65)*AO64,AO64*AO65)))),MAX(0,40*MAX(1,AO64)-(AM66+AN66)))))</f>
        <v>0</v>
      </c>
      <c r="AP67" s="63">
        <f>IF(AND(AP64=0,AP65=0,AND(IFERROR(INDEX('Job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hours")),0,IF(OR(AP64&lt;=0,NOT(OR(AND(IFERROR(INDEX('Job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setup'!I$7:I$11,0)),"")&gt;=AP$6)))),0,IF(WEEKDAY(AP$6,1)=1,0,IF(WEEKDAY(AP$6,1)=7,AP64*AP65,IF(IF(AND(IFERROR(INDEX('Job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8"),FALSE))))),MAX(0,AP65-8)*AP64,0))))+((IF(OR(AP64&lt;=0,NOT(OR(AND(IFERROR(INDEX('Job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8"),FALSE))))),MIN(8,AP65)*AP64,AP64*AP65)))))-MIN(IF(OR(AP64&lt;=0,NOT(OR(AND(IFERROR(INDEX('Job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8"),FALSE))))),MIN(8,AP65)*AP64,AP64*AP65)))),MAX(0,40*MAX(1,AP64)-(AM66+AN66+AO66)))))</f>
        <v>0</v>
      </c>
      <c r="OU67" s="28" t="s">
        <v>76</v>
      </c>
    </row>
    <row r="68" ht="16" customHeight="1" spans="1:411" x14ac:dyDescent="0.25">
      <c r="A68" s="72"/>
      <c r="B68" s="44"/>
      <c r="C68" s="59">
        <f>H63*N(D68)</f>
        <v>4833.6</v>
      </c>
      <c r="D68" s="59">
        <f>IF(TRIM(B63)="","No rate",IFERROR(INDEX('Rate Tables'!E$7:E$161,MATCH(B63,'Rate Tables'!A$7:A$161,0)),"No rate"))</f>
        <v>201.4</v>
      </c>
      <c r="E68" s="53" t="s">
        <v>64</v>
      </c>
      <c r="F68" s="47"/>
      <c r="G68" s="47"/>
      <c r="H68" s="47"/>
      <c r="I68" s="47"/>
      <c r="J68" s="48"/>
      <c r="K68" s="60">
        <f>IF(AND(K64=1,K65=8,AND(IFERROR(INDEX('Job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hours")),0,IF(OR(K64&lt;=0,NOT(OR(AND(IFERROR(INDEX('Job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setup'!I$7:I$11,0)),"")&gt;=K$6)))),0,IF(WEEKDAY(K$6,1)=1,K64*K65,0)))</f>
        <v>0</v>
      </c>
      <c r="L68" s="61">
        <f>IF(AND(L64=1,L65=8,AND(IFERROR(INDEX('Job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hours")),0,IF(OR(L64&lt;=0,NOT(OR(AND(IFERROR(INDEX('Job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setup'!I$7:I$11,0)),"")&gt;=L$6)))),0,IF(WEEKDAY(L$6,1)=1,L64*L65,0)))</f>
        <v>0</v>
      </c>
      <c r="M68" s="61">
        <f>IF(AND(M64=1,M65=8,AND(IFERROR(INDEX('Job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hours")),0,IF(OR(M64&lt;=0,NOT(OR(AND(IFERROR(INDEX('Job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setup'!I$7:I$11,0)),"")&gt;=M$6)))),0,IF(WEEKDAY(M$6,1)=1,M64*M65,0)))</f>
        <v>0</v>
      </c>
      <c r="N68" s="61">
        <f>IF(AND(N64=1,N65=8,AND(IFERROR(INDEX('Job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hours")),0,IF(OR(N64&lt;=0,NOT(OR(AND(IFERROR(INDEX('Job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setup'!I$7:I$11,0)),"")&gt;=N$6)))),0,IF(WEEKDAY(N$6,1)=1,N64*N65,0)))</f>
        <v>0</v>
      </c>
      <c r="O68" s="61">
        <f>IF(AND(O64=1,O65=8,AND(IFERROR(INDEX('Job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hours")),0,IF(OR(O64&lt;=0,NOT(OR(AND(IFERROR(INDEX('Job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setup'!I$7:I$11,0)),"")&gt;=O$6)))),0,IF(WEEKDAY(O$6,1)=1,O64*O65,0)))</f>
        <v>0</v>
      </c>
      <c r="P68" s="62">
        <f>IF(AND(P64=0,P65=0,AND(IFERROR(INDEX('Job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hours")),0,IF(OR(P64&lt;=0,NOT(OR(AND(IFERROR(INDEX('Job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setup'!I$7:I$11,0)),"")&gt;=P$6)))),0,IF(WEEKDAY(P$6,1)=1,P64*P65,0)))</f>
        <v>0</v>
      </c>
      <c r="Q68" s="62">
        <f>IF(AND(Q64=0,Q65=0,AND(IFERROR(INDEX('Job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hours")),0,IF(OR(Q64&lt;=0,NOT(OR(AND(IFERROR(INDEX('Job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setup'!I$7:I$11,0)),"")&gt;=Q$6)))),0,IF(WEEKDAY(Q$6,1)=1,Q64*Q65,0)))</f>
        <v>0</v>
      </c>
      <c r="R68" s="61">
        <f>IF(AND(R64=1,R65=8,AND(IFERROR(INDEX('Job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hours")),0,IF(OR(R64&lt;=0,NOT(OR(AND(IFERROR(INDEX('Job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setup'!I$7:I$11,0)),"")&gt;=R$6)))),0,IF(WEEKDAY(R$6,1)=1,R64*R65,0)))</f>
        <v>0</v>
      </c>
      <c r="S68" s="61">
        <f>IF(AND(S64=1,S65=8,AND(IFERROR(INDEX('Job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hours")),0,IF(OR(S64&lt;=0,NOT(OR(AND(IFERROR(INDEX('Job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setup'!I$7:I$11,0)),"")&gt;=S$6)))),0,IF(WEEKDAY(S$6,1)=1,S64*S65,0)))</f>
        <v>0</v>
      </c>
      <c r="T68" s="61">
        <f>IF(AND(T64=1,T65=8,AND(IFERROR(INDEX('Job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hours")),0,IF(OR(T64&lt;=0,NOT(OR(AND(IFERROR(INDEX('Job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setup'!I$7:I$11,0)),"")&gt;=T$6)))),0,IF(WEEKDAY(T$6,1)=1,T64*T65,0)))</f>
        <v>0</v>
      </c>
      <c r="U68" s="61">
        <f>IF(AND(U64=1,U65=12,AND(IFERROR(INDEX('Job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setup'!I$7:I$11,0)),"")=0))),0,IF(OR(U64&lt;=0,NOT(OR(AND(IFERROR(INDEX('Job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setup'!I$7:I$11,0)),"")&gt;=U$6)))),0,IF(WEEKDAY(U$6,1)=1,U64*U65,0)))</f>
        <v>0</v>
      </c>
      <c r="V68" s="61">
        <f>IF(AND(V64=1,V65=12,AND(IFERROR(INDEX('Job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setup'!I$7:I$11,0)),"")=0))),0,IF(OR(V64&lt;=0,NOT(OR(AND(IFERROR(INDEX('Job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setup'!I$7:I$11,0)),"")&gt;=V$6)))),0,IF(WEEKDAY(V$6,1)=1,V64*V65,0)))</f>
        <v>0</v>
      </c>
      <c r="W68" s="62">
        <f>IF(AND(W64=1,W65=12,AND(IFERROR(INDEX('Job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setup'!I$7:I$11,0)),"")=0))),0,IF(OR(W64&lt;=0,NOT(OR(AND(IFERROR(INDEX('Job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setup'!I$7:I$11,0)),"")&gt;=W$6)))),0,IF(WEEKDAY(W$6,1)=1,W64*W65,0)))</f>
        <v>0</v>
      </c>
      <c r="X68" s="62">
        <f>IF(AND(X64=1,X65=12,AND(IFERROR(INDEX('Job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setup'!I$7:I$11,0)),"")=0))),12,IF(OR(X64&lt;=0,NOT(OR(AND(IFERROR(INDEX('Job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setup'!I$7:I$11,0)),"")&gt;=X$6)))),0,IF(WEEKDAY(X$6,1)=1,X64*X65,0)))</f>
        <v>12</v>
      </c>
      <c r="Y68" s="61">
        <f>IF(AND(Y64=1,Y65=12,AND(IFERROR(INDEX('Job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setup'!I$7:I$11,0)),"")=0))),0,IF(OR(Y64&lt;=0,NOT(OR(AND(IFERROR(INDEX('Job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setup'!I$7:I$11,0)),"")&gt;=Y$6)))),0,IF(WEEKDAY(Y$6,1)=1,Y64*Y65,0)))</f>
        <v>0</v>
      </c>
      <c r="Z68" s="61">
        <f>IF(AND(Z64=1,Z65=12,AND(IFERROR(INDEX('Job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setup'!I$7:I$11,0)),"")=0))),0,IF(OR(Z64&lt;=0,NOT(OR(AND(IFERROR(INDEX('Job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setup'!I$7:I$11,0)),"")&gt;=Z$6)))),0,IF(WEEKDAY(Z$6,1)=1,Z64*Z65,0)))</f>
        <v>0</v>
      </c>
      <c r="AA68" s="61">
        <f>IF(AND(AA64=1,AA65=12,AND(IFERROR(INDEX('Job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setup'!I$7:I$11,0)),"")=0))),0,IF(OR(AA64&lt;=0,NOT(OR(AND(IFERROR(INDEX('Job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setup'!I$7:I$11,0)),"")&gt;=AA$6)))),0,IF(WEEKDAY(AA$6,1)=1,AA64*AA65,0)))</f>
        <v>0</v>
      </c>
      <c r="AB68" s="61">
        <f>IF(AND(AB64=1,AB65=12,AND(IFERROR(INDEX('Job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setup'!I$7:I$11,0)),"")=0))),0,IF(OR(AB64&lt;=0,NOT(OR(AND(IFERROR(INDEX('Job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setup'!I$7:I$11,0)),"")&gt;=AB$6)))),0,IF(WEEKDAY(AB$6,1)=1,AB64*AB65,0)))</f>
        <v>0</v>
      </c>
      <c r="AC68" s="61">
        <f>IF(AND(AC64=1,AC65=12,AND(IFERROR(INDEX('Job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setup'!I$7:I$11,0)),"")=0))),0,IF(OR(AC64&lt;=0,NOT(OR(AND(IFERROR(INDEX('Job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setup'!I$7:I$11,0)),"")&gt;=AC$6)))),0,IF(WEEKDAY(AC$6,1)=1,AC64*AC65,0)))</f>
        <v>0</v>
      </c>
      <c r="AD68" s="62">
        <f>IF(AND(AD64=1,AD65=12,AND(IFERROR(INDEX('Job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setup'!I$7:I$11,0)),"")=0))),0,IF(OR(AD64&lt;=0,NOT(OR(AND(IFERROR(INDEX('Job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setup'!I$7:I$11,0)),"")&gt;=AD$6)))),0,IF(WEEKDAY(AD$6,1)=1,AD64*AD65,0)))</f>
        <v>0</v>
      </c>
      <c r="AE68" s="62">
        <f>IF(AND(AE64=1,AE65=12,AND(IFERROR(INDEX('Job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setup'!I$7:I$11,0)),"")=0))),12,IF(OR(AE64&lt;=0,NOT(OR(AND(IFERROR(INDEX('Job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setup'!I$7:I$11,0)),"")&gt;=AE$6)))),0,IF(WEEKDAY(AE$6,1)=1,AE64*AE65,0)))</f>
        <v>12</v>
      </c>
      <c r="AF68" s="61">
        <f>IF(AND(AF64=1,AF65=12,AND(IFERROR(INDEX('Job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setup'!I$7:I$11,0)),"")=0))),0,IF(OR(AF64&lt;=0,NOT(OR(AND(IFERROR(INDEX('Job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setup'!I$7:I$11,0)),"")&gt;=AF$6)))),0,IF(WEEKDAY(AF$6,1)=1,AF64*AF65,0)))</f>
        <v>0</v>
      </c>
      <c r="AG68" s="61">
        <f>IF(AND(AG64=1,AG65=12,AND(IFERROR(INDEX('Job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setup'!I$7:I$11,0)),"")=0))),0,IF(OR(AG64&lt;=0,NOT(OR(AND(IFERROR(INDEX('Job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setup'!I$7:I$11,0)),"")&gt;=AG$6)))),0,IF(WEEKDAY(AG$6,1)=1,AG64*AG65,0)))</f>
        <v>0</v>
      </c>
      <c r="AH68" s="61">
        <f>IF(AND(AH64=1,AH65=12,AND(IFERROR(INDEX('Job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setup'!I$7:I$11,0)),"")=0))),0,IF(OR(AH64&lt;=0,NOT(OR(AND(IFERROR(INDEX('Job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setup'!I$7:I$11,0)),"")&gt;=AH$6)))),0,IF(WEEKDAY(AH$6,1)=1,AH64*AH65,0)))</f>
        <v>0</v>
      </c>
      <c r="AI68" s="61">
        <f>IF(AND(AI64=0,AI65=0,AND(IFERROR(INDEX('Job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hours")),0,IF(OR(AI64&lt;=0,NOT(OR(AND(IFERROR(INDEX('Job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setup'!I$7:I$11,0)),"")&gt;=AI$6)))),0,IF(WEEKDAY(AI$6,1)=1,AI64*AI65,0)))</f>
        <v>0</v>
      </c>
      <c r="AJ68" s="61">
        <f>IF(AND(AJ64=0,AJ65=0,AND(IFERROR(INDEX('Job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hours")),0,IF(OR(AJ64&lt;=0,NOT(OR(AND(IFERROR(INDEX('Job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setup'!I$7:I$11,0)),"")&gt;=AJ$6)))),0,IF(WEEKDAY(AJ$6,1)=1,AJ64*AJ65,0)))</f>
        <v>0</v>
      </c>
      <c r="AK68" s="62">
        <f>IF(AND(AK64=0,AK65=0,AND(IFERROR(INDEX('Job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hours")),0,IF(OR(AK64&lt;=0,NOT(OR(AND(IFERROR(INDEX('Job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setup'!I$7:I$11,0)),"")&gt;=AK$6)))),0,IF(WEEKDAY(AK$6,1)=1,AK64*AK65,0)))</f>
        <v>0</v>
      </c>
      <c r="AL68" s="62">
        <f>IF(AND(AL64=0,AL65=0,AND(IFERROR(INDEX('Job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hours")),0,IF(OR(AL64&lt;=0,NOT(OR(AND(IFERROR(INDEX('Job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setup'!I$7:I$11,0)),"")&gt;=AL$6)))),0,IF(WEEKDAY(AL$6,1)=1,AL64*AL65,0)))</f>
        <v>0</v>
      </c>
      <c r="AM68" s="61">
        <f>IF(AND(AM64=0,AM65=0,AND(IFERROR(INDEX('Job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hours")),0,IF(OR(AM64&lt;=0,NOT(OR(AND(IFERROR(INDEX('Job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setup'!I$7:I$11,0)),"")&gt;=AM$6)))),0,IF(WEEKDAY(AM$6,1)=1,AM64*AM65,0)))</f>
        <v>0</v>
      </c>
      <c r="AN68" s="61">
        <f>IF(AND(AN64=0,AN65=0,AND(IFERROR(INDEX('Job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hours")),0,IF(OR(AN64&lt;=0,NOT(OR(AND(IFERROR(INDEX('Job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setup'!I$7:I$11,0)),"")&gt;=AN$6)))),0,IF(WEEKDAY(AN$6,1)=1,AN64*AN65,0)))</f>
        <v>0</v>
      </c>
      <c r="AO68" s="61">
        <f>IF(AND(AO64=0,AO65=0,AND(IFERROR(INDEX('Job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hours")),0,IF(OR(AO64&lt;=0,NOT(OR(AND(IFERROR(INDEX('Job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setup'!I$7:I$11,0)),"")&gt;=AO$6)))),0,IF(WEEKDAY(AO$6,1)=1,AO64*AO65,0)))</f>
        <v>0</v>
      </c>
      <c r="AP68" s="63">
        <f>IF(AND(AP64=0,AP65=0,AND(IFERROR(INDEX('Job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hours")),0,IF(OR(AP64&lt;=0,NOT(OR(AND(IFERROR(INDEX('Job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setup'!I$7:I$11,0)),"")&gt;=AP$6)))),0,IF(WEEKDAY(AP$6,1)=1,AP64*AP65,0)))</f>
        <v>0</v>
      </c>
      <c r="OU68" s="28" t="s">
        <v>76</v>
      </c>
    </row>
    <row r="69" ht="16" customHeight="1" spans="1:411" x14ac:dyDescent="0.25">
      <c r="A69" s="72"/>
      <c r="B69" s="44"/>
      <c r="C69" s="65">
        <f>I63*D69</f>
        <v>3080</v>
      </c>
      <c r="D69" s="65">
        <v>140</v>
      </c>
      <c r="E69" s="66" t="s">
        <v>65</v>
      </c>
      <c r="F69" s="47"/>
      <c r="G69" s="47"/>
      <c r="H69" s="47"/>
      <c r="I69" s="47"/>
      <c r="J69" s="48"/>
      <c r="K69" s="67">
        <v>1</v>
      </c>
      <c r="L69" s="68">
        <v>1</v>
      </c>
      <c r="M69" s="68">
        <v>1</v>
      </c>
      <c r="N69" s="68">
        <v>1</v>
      </c>
      <c r="O69" s="68">
        <v>1</v>
      </c>
      <c r="P69" s="69">
        <v>0</v>
      </c>
      <c r="Q69" s="69">
        <v>0</v>
      </c>
      <c r="R69" s="68">
        <v>1</v>
      </c>
      <c r="S69" s="68">
        <v>1</v>
      </c>
      <c r="T69" s="68">
        <v>1</v>
      </c>
      <c r="U69" s="68">
        <v>1</v>
      </c>
      <c r="V69" s="68">
        <v>1</v>
      </c>
      <c r="W69" s="69">
        <v>1</v>
      </c>
      <c r="X69" s="69">
        <v>1</v>
      </c>
      <c r="Y69" s="68">
        <v>1</v>
      </c>
      <c r="Z69" s="68">
        <v>1</v>
      </c>
      <c r="AA69" s="68">
        <v>1</v>
      </c>
      <c r="AB69" s="68">
        <v>1</v>
      </c>
      <c r="AC69" s="68">
        <v>1</v>
      </c>
      <c r="AD69" s="69">
        <v>1</v>
      </c>
      <c r="AE69" s="69">
        <v>1</v>
      </c>
      <c r="AF69" s="68">
        <v>1</v>
      </c>
      <c r="AG69" s="68">
        <v>1</v>
      </c>
      <c r="AH69" s="68">
        <v>1</v>
      </c>
      <c r="AI69" s="68">
        <v>0</v>
      </c>
      <c r="AJ69" s="68">
        <v>0</v>
      </c>
      <c r="AK69" s="69">
        <v>0</v>
      </c>
      <c r="AL69" s="69">
        <v>0</v>
      </c>
      <c r="AM69" s="68">
        <v>0</v>
      </c>
      <c r="AN69" s="68">
        <v>0</v>
      </c>
      <c r="AO69" s="68">
        <v>0</v>
      </c>
      <c r="AP69" s="70">
        <v>0</v>
      </c>
      <c r="OU69" s="58" t="s">
        <v>76</v>
      </c>
    </row>
    <row r="70" ht="16" customHeight="1" spans="1:411" x14ac:dyDescent="0.25">
      <c r="A70" s="16" t="s">
        <v>77</v>
      </c>
      <c r="B70" s="17"/>
      <c r="C70" s="73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3">
        <f>SUM(J7,J15,J23,J31,J39,J47,J55,J63)</f>
        <v>245898.48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8">
    <dataValidation type="list" allowBlank="1" sqref="B15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26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35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39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41</v>
      </c>
      <c r="L5" s="40" t="s">
        <v>42</v>
      </c>
      <c r="M5" s="40" t="s">
        <v>43</v>
      </c>
      <c r="N5" s="40" t="s">
        <v>44</v>
      </c>
      <c r="O5" s="40" t="s">
        <v>45</v>
      </c>
      <c r="P5" s="40" t="s">
        <v>46</v>
      </c>
      <c r="Q5" s="40" t="s">
        <v>47</v>
      </c>
      <c r="R5" s="40" t="s">
        <v>41</v>
      </c>
      <c r="S5" s="40" t="s">
        <v>42</v>
      </c>
      <c r="T5" s="40" t="s">
        <v>43</v>
      </c>
      <c r="U5" s="40" t="s">
        <v>44</v>
      </c>
      <c r="V5" s="40" t="s">
        <v>45</v>
      </c>
      <c r="W5" s="40" t="s">
        <v>46</v>
      </c>
      <c r="X5" s="40" t="s">
        <v>47</v>
      </c>
      <c r="Y5" s="40" t="s">
        <v>41</v>
      </c>
      <c r="Z5" s="40" t="s">
        <v>42</v>
      </c>
      <c r="AA5" s="40" t="s">
        <v>43</v>
      </c>
      <c r="AB5" s="40" t="s">
        <v>44</v>
      </c>
      <c r="AC5" s="40" t="s">
        <v>45</v>
      </c>
      <c r="AD5" s="40" t="s">
        <v>46</v>
      </c>
      <c r="AE5" s="40" t="s">
        <v>47</v>
      </c>
      <c r="AF5" s="40" t="s">
        <v>41</v>
      </c>
      <c r="AG5" s="40" t="s">
        <v>42</v>
      </c>
      <c r="AH5" s="40" t="s">
        <v>43</v>
      </c>
      <c r="AI5" s="40" t="s">
        <v>44</v>
      </c>
      <c r="AJ5" s="40" t="s">
        <v>45</v>
      </c>
      <c r="AK5" s="40" t="s">
        <v>46</v>
      </c>
      <c r="AL5" s="40" t="s">
        <v>47</v>
      </c>
      <c r="AM5" s="40" t="s">
        <v>41</v>
      </c>
      <c r="AN5" s="40" t="s">
        <v>42</v>
      </c>
      <c r="AO5" s="40" t="s">
        <v>43</v>
      </c>
      <c r="AP5" s="40" t="s">
        <v>44</v>
      </c>
    </row>
    <row r="6" ht="22" customHeight="1" spans="1:42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57</v>
      </c>
      <c r="B7" s="44" t="s">
        <v>78</v>
      </c>
      <c r="C7" s="45">
        <f>J7</f>
        <v>63360.64</v>
      </c>
      <c r="D7" s="46"/>
      <c r="E7" s="46"/>
      <c r="F7" s="47">
        <f>SUM(K10:AP10)</f>
        <v>336</v>
      </c>
      <c r="G7" s="47">
        <f>SUM(K11:AP11)</f>
        <v>128</v>
      </c>
      <c r="H7" s="47">
        <f>SUM(K12:AP12)</f>
        <v>48</v>
      </c>
      <c r="I7" s="47">
        <f>SUM(K13:AP13)</f>
        <v>50</v>
      </c>
      <c r="J7" s="48">
        <f>C10+C11+C12</f>
        <v>63360.64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79</v>
      </c>
    </row>
    <row r="8" ht="16" customHeight="1" spans="1:411" x14ac:dyDescent="0.25">
      <c r="A8" s="43"/>
      <c r="B8" s="44"/>
      <c r="C8" s="45"/>
      <c r="D8" s="46"/>
      <c r="E8" s="53" t="s">
        <v>60</v>
      </c>
      <c r="F8" s="47"/>
      <c r="G8" s="47"/>
      <c r="H8" s="47"/>
      <c r="I8" s="47"/>
      <c r="J8" s="48"/>
      <c r="K8" s="54">
        <v>2</v>
      </c>
      <c r="L8" s="55">
        <v>2</v>
      </c>
      <c r="M8" s="55">
        <v>2</v>
      </c>
      <c r="N8" s="55">
        <v>2</v>
      </c>
      <c r="O8" s="55">
        <v>2</v>
      </c>
      <c r="P8" s="56">
        <v>0</v>
      </c>
      <c r="Q8" s="56">
        <v>0</v>
      </c>
      <c r="R8" s="55">
        <v>2</v>
      </c>
      <c r="S8" s="55">
        <v>2</v>
      </c>
      <c r="T8" s="55">
        <v>2</v>
      </c>
      <c r="U8" s="55">
        <v>2</v>
      </c>
      <c r="V8" s="55">
        <v>2</v>
      </c>
      <c r="W8" s="56">
        <v>2</v>
      </c>
      <c r="X8" s="56">
        <v>2</v>
      </c>
      <c r="Y8" s="55">
        <v>2</v>
      </c>
      <c r="Z8" s="55">
        <v>2</v>
      </c>
      <c r="AA8" s="55">
        <v>2</v>
      </c>
      <c r="AB8" s="55">
        <v>2</v>
      </c>
      <c r="AC8" s="55">
        <v>2</v>
      </c>
      <c r="AD8" s="56">
        <v>2</v>
      </c>
      <c r="AE8" s="56">
        <v>2</v>
      </c>
      <c r="AF8" s="55">
        <v>2</v>
      </c>
      <c r="AG8" s="55">
        <v>2</v>
      </c>
      <c r="AH8" s="55">
        <v>2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79</v>
      </c>
    </row>
    <row r="9" ht="16" customHeight="1" spans="1:411" x14ac:dyDescent="0.25">
      <c r="A9" s="43"/>
      <c r="B9" s="44"/>
      <c r="C9" s="45"/>
      <c r="D9" s="46"/>
      <c r="E9" s="53" t="s">
        <v>61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79</v>
      </c>
    </row>
    <row r="10" ht="16" customHeight="1" spans="1:411" x14ac:dyDescent="0.25">
      <c r="A10" s="43"/>
      <c r="B10" s="44"/>
      <c r="C10" s="59">
        <f>F7*N(D10)</f>
        <v>35374.08</v>
      </c>
      <c r="D10" s="59">
        <f>IF(TRIM(B7)="","No rate",IFERROR(INDEX('Rate Tables'!C$7:C$161,MATCH(B7,'Rate Tables'!A$7:A$161,0)),"No rate"))</f>
        <v>105.28</v>
      </c>
      <c r="E10" s="53" t="s">
        <v>62</v>
      </c>
      <c r="F10" s="47"/>
      <c r="G10" s="47"/>
      <c r="H10" s="47"/>
      <c r="I10" s="47"/>
      <c r="J10" s="48"/>
      <c r="K10" s="60">
        <f>IF(AND(K8=2,K9=8,AND(IFERROR(INDEX('Job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hours")),16,MIN(IF(OR(K8&lt;=0,NOT(OR(AND(IFERROR(INDEX('Job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8"),FALSE))))),MIN(8,K9)*K8,K8*K9)))),MAX(0,40*MAX(1,K8)-(0))))</f>
        <v>16</v>
      </c>
      <c r="L10" s="61">
        <f>IF(AND(L8=2,L9=8,AND(IFERROR(INDEX('Job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hours")),16,MIN(IF(OR(L8&lt;=0,NOT(OR(AND(IFERROR(INDEX('Job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8"),FALSE))))),MIN(8,L9)*L8,L8*L9)))),MAX(0,40*MAX(1,L8)-(K10))))</f>
        <v>16</v>
      </c>
      <c r="M10" s="61">
        <f>IF(AND(M8=2,M9=8,AND(IFERROR(INDEX('Job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hours")),16,MIN(IF(OR(M8&lt;=0,NOT(OR(AND(IFERROR(INDEX('Job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8"),FALSE))))),MIN(8,M9)*M8,M8*M9)))),MAX(0,40*MAX(1,M8)-(K10+L10))))</f>
        <v>16</v>
      </c>
      <c r="N10" s="61">
        <f>IF(AND(N8=2,N9=8,AND(IFERROR(INDEX('Job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hours")),16,MIN(IF(OR(N8&lt;=0,NOT(OR(AND(IFERROR(INDEX('Job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8"),FALSE))))),MIN(8,N9)*N8,N8*N9)))),MAX(0,40*MAX(1,N8)-(K10+L10+M10))))</f>
        <v>16</v>
      </c>
      <c r="O10" s="61">
        <f>IF(AND(O8=2,O9=8,AND(IFERROR(INDEX('Job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hours")),16,MIN(IF(OR(O8&lt;=0,NOT(OR(AND(IFERROR(INDEX('Job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8"),FALSE))))),MIN(8,O9)*O8,O8*O9)))),MAX(0,40*MAX(1,O8)-(K10+L10+M10+N10))))</f>
        <v>16</v>
      </c>
      <c r="P10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8"),FALSE))))),MIN(8,P9)*P8,P8*P9)))),MAX(0,40*MAX(1,P8)-(0))))</f>
        <v>0</v>
      </c>
      <c r="Q10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8"),FALSE))))),MIN(8,Q9)*Q8,Q8*Q9)))),MAX(0,40*MAX(1,Q8)-(P10))))</f>
        <v>0</v>
      </c>
      <c r="R10" s="61">
        <f>IF(AND(R8=2,R9=8,AND(IFERROR(INDEX('Job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hours")),16,MIN(IF(OR(R8&lt;=0,NOT(OR(AND(IFERROR(INDEX('Job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8"),FALSE))))),MIN(8,R9)*R8,R8*R9)))),MAX(0,40*MAX(1,R8)-(0))))</f>
        <v>16</v>
      </c>
      <c r="S10" s="61">
        <f>IF(AND(S8=2,S9=8,AND(IFERROR(INDEX('Job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hours")),16,MIN(IF(OR(S8&lt;=0,NOT(OR(AND(IFERROR(INDEX('Job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8"),FALSE))))),MIN(8,S9)*S8,S8*S9)))),MAX(0,40*MAX(1,S8)-(R10))))</f>
        <v>16</v>
      </c>
      <c r="T10" s="61">
        <f>IF(AND(T8=2,T9=8,AND(IFERROR(INDEX('Job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hours")),16,MIN(IF(OR(T8&lt;=0,NOT(OR(AND(IFERROR(INDEX('Job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8"),FALSE))))),MIN(8,T9)*T8,T8*T9)))),MAX(0,40*MAX(1,T8)-(R10+S10))))</f>
        <v>16</v>
      </c>
      <c r="U10" s="61">
        <f>IF(AND(U8=2,U9=12,AND(IFERROR(INDEX('Job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setup'!I$7:I$11,0)),"")=0))),16,MIN(IF(OR(U8&lt;=0,NOT(OR(AND(IFERROR(INDEX('Job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8"),FALSE))))),MIN(8,U9)*U8,U8*U9)))),MAX(0,40*MAX(1,U8)-(0))))</f>
        <v>16</v>
      </c>
      <c r="V10" s="61">
        <f>IF(AND(V8=2,V9=12,AND(IFERROR(INDEX('Job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setup'!I$7:I$11,0)),"")=0))),16,MIN(IF(OR(V8&lt;=0,NOT(OR(AND(IFERROR(INDEX('Job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8"),FALSE))))),MIN(8,V9)*V8,V8*V9)))),MAX(0,40*MAX(1,V8)-(U10))))</f>
        <v>16</v>
      </c>
      <c r="W10" s="62">
        <f>IF(AND(W8=2,W9=12,AND(IFERROR(INDEX('Job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8"),FALSE))))),MIN(8,W9)*W8,W8*W9)))),MAX(0,40*MAX(1,W8)-(U10+V10))))</f>
        <v>0</v>
      </c>
      <c r="X10" s="62">
        <f>IF(AND(X8=2,X9=12,AND(IFERROR(INDEX('Job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8"),FALSE))))),MIN(8,X9)*X8,X8*X9)))),MAX(0,40*MAX(1,X8)-(U10+V10+W10))))</f>
        <v>0</v>
      </c>
      <c r="Y10" s="61">
        <f>IF(AND(Y8=2,Y9=12,AND(IFERROR(INDEX('Job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setup'!I$7:I$11,0)),"")=0))),16,MIN(IF(OR(Y8&lt;=0,NOT(OR(AND(IFERROR(INDEX('Job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8"),FALSE))))),MIN(8,Y9)*Y8,Y8*Y9)))),MAX(0,40*MAX(1,Y8)-(0))))</f>
        <v>16</v>
      </c>
      <c r="Z10" s="61">
        <f>IF(AND(Z8=2,Z9=12,AND(IFERROR(INDEX('Job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setup'!I$7:I$11,0)),"")=0))),16,MIN(IF(OR(Z8&lt;=0,NOT(OR(AND(IFERROR(INDEX('Job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8"),FALSE))))),MIN(8,Z9)*Z8,Z8*Z9)))),MAX(0,40*MAX(1,Z8)-(Y10))))</f>
        <v>16</v>
      </c>
      <c r="AA10" s="61">
        <f>IF(AND(AA8=2,AA9=12,AND(IFERROR(INDEX('Job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setup'!I$7:I$11,0)),"")=0))),16,MIN(IF(OR(AA8&lt;=0,NOT(OR(AND(IFERROR(INDEX('Job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8"),FALSE))))),MIN(8,AA9)*AA8,AA8*AA9)))),MAX(0,40*MAX(1,AA8)-(Y10+Z10))))</f>
        <v>16</v>
      </c>
      <c r="AB10" s="61">
        <f>IF(AND(AB8=2,AB9=12,AND(IFERROR(INDEX('Job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setup'!I$7:I$11,0)),"")=0))),16,MIN(IF(OR(AB8&lt;=0,NOT(OR(AND(IFERROR(INDEX('Job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8"),FALSE))))),MIN(8,AB9)*AB8,AB8*AB9)))),MAX(0,40*MAX(1,AB8)-(Y10+Z10+AA10))))</f>
        <v>16</v>
      </c>
      <c r="AC10" s="61">
        <f>IF(AND(AC8=2,AC9=12,AND(IFERROR(INDEX('Job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setup'!I$7:I$11,0)),"")=0))),16,MIN(IF(OR(AC8&lt;=0,NOT(OR(AND(IFERROR(INDEX('Job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8"),FALSE))))),MIN(8,AC9)*AC8,AC8*AC9)))),MAX(0,40*MAX(1,AC8)-(Y10+Z10+AA10+AB10))))</f>
        <v>16</v>
      </c>
      <c r="AD10" s="62">
        <f>IF(AND(AD8=2,AD9=12,AND(IFERROR(INDEX('Job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8"),FALSE))))),MIN(8,AD9)*AD8,AD8*AD9)))),MAX(0,40*MAX(1,AD8)-(Y10+Z10+AA10+AB10+AC10))))</f>
        <v>0</v>
      </c>
      <c r="AE10" s="62">
        <f>IF(AND(AE8=2,AE9=12,AND(IFERROR(INDEX('Job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8"),FALSE))))),MIN(8,AE9)*AE8,AE8*AE9)))),MAX(0,40*MAX(1,AE8)-(Y10+Z10+AA10+AB10+AC10+AD10))))</f>
        <v>0</v>
      </c>
      <c r="AF10" s="61">
        <f>IF(AND(AF8=2,AF9=12,AND(IFERROR(INDEX('Job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setup'!I$7:I$11,0)),"")=0))),16,MIN(IF(OR(AF8&lt;=0,NOT(OR(AND(IFERROR(INDEX('Job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8"),FALSE))))),MIN(8,AF9)*AF8,AF8*AF9)))),MAX(0,40*MAX(1,AF8)-(0))))</f>
        <v>16</v>
      </c>
      <c r="AG10" s="61">
        <f>IF(AND(AG8=2,AG9=12,AND(IFERROR(INDEX('Job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setup'!I$7:I$11,0)),"")=0))),16,MIN(IF(OR(AG8&lt;=0,NOT(OR(AND(IFERROR(INDEX('Job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8"),FALSE))))),MIN(8,AG9)*AG8,AG8*AG9)))),MAX(0,40*MAX(1,AG8)-(AF10))))</f>
        <v>16</v>
      </c>
      <c r="AH10" s="61">
        <f>IF(AND(AH8=2,AH9=12,AND(IFERROR(INDEX('Job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setup'!I$7:I$11,0)),"")=0))),16,MIN(IF(OR(AH8&lt;=0,NOT(OR(AND(IFERROR(INDEX('Job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8"),FALSE))))),MIN(8,AH9)*AH8,AH8*AH9)))),MAX(0,40*MAX(1,AH8)-(AF10+AG10))))</f>
        <v>16</v>
      </c>
      <c r="AI10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hours")),8,MIN(IF(OR(AI8&lt;=0,NOT(OR(AND(IFERROR(INDEX('Job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8"),FALSE))))),MIN(8,AI9)*AI8,AI8*AI9)))),MAX(0,40*MAX(1,AI8)-(0))))</f>
        <v>8</v>
      </c>
      <c r="AJ10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hours")),8,MIN(IF(OR(AJ8&lt;=0,NOT(OR(AND(IFERROR(INDEX('Job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8"),FALSE))))),MIN(8,AJ9)*AJ8,AJ8*AJ9)))),MAX(0,40*MAX(1,AJ8)-(AI10))))</f>
        <v>8</v>
      </c>
      <c r="AK10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8"),FALSE))))),MIN(8,AK9)*AK8,AK8*AK9)))),MAX(0,40*MAX(1,AK8)-(0))))</f>
        <v>0</v>
      </c>
      <c r="AL10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8"),FALSE))))),MIN(8,AL9)*AL8,AL8*AL9)))),MAX(0,40*MAX(1,AL8)-(AK10))))</f>
        <v>0</v>
      </c>
      <c r="AM10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hours")),8,MIN(IF(OR(AM8&lt;=0,NOT(OR(AND(IFERROR(INDEX('Job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8"),FALSE))))),MIN(8,AM9)*AM8,AM8*AM9)))),MAX(0,40*MAX(1,AM8)-(0))))</f>
        <v>8</v>
      </c>
      <c r="AN10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hours")),8,MIN(IF(OR(AN8&lt;=0,NOT(OR(AND(IFERROR(INDEX('Job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8"),FALSE))))),MIN(8,AN9)*AN8,AN8*AN9)))),MAX(0,40*MAX(1,AN8)-(AM10))))</f>
        <v>8</v>
      </c>
      <c r="AO10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hours")),8,MIN(IF(OR(AO8&lt;=0,NOT(OR(AND(IFERROR(INDEX('Job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8"),FALSE))))),MIN(8,AO9)*AO8,AO8*AO9)))),MAX(0,40*MAX(1,AO8)-(AM10+AN10))))</f>
        <v>8</v>
      </c>
      <c r="AP10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hours")),8,MIN(IF(OR(AP8&lt;=0,NOT(OR(AND(IFERROR(INDEX('Job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8"),FALSE))))),MIN(8,AP9)*AP8,AP8*AP9)))),MAX(0,40*MAX(1,AP8)-(AM10+AN10+AO10))))</f>
        <v>8</v>
      </c>
      <c r="OU10" s="28" t="s">
        <v>79</v>
      </c>
    </row>
    <row r="11" ht="16" customHeight="1" spans="1:411" x14ac:dyDescent="0.25">
      <c r="A11" s="43"/>
      <c r="B11" s="44"/>
      <c r="C11" s="64">
        <f>G7*N(D11)</f>
        <v>18880</v>
      </c>
      <c r="D11" s="64">
        <f>IF(TRIM(B7)="","No rate",IFERROR(INDEX('Rate Tables'!D$7:D$161,MATCH(B7,'Rate Tables'!A$7:A$161,0)),"No rate"))</f>
        <v>147.5</v>
      </c>
      <c r="E11" s="53" t="s">
        <v>63</v>
      </c>
      <c r="F11" s="47"/>
      <c r="G11" s="47"/>
      <c r="H11" s="47"/>
      <c r="I11" s="47"/>
      <c r="J11" s="48"/>
      <c r="K11" s="60">
        <f>IF(AND(K8=2,K9=8,AND(IFERROR(INDEX('Job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setup'!I$7:I$11,0)),"")&gt;=K$6)))),0,IF(WEEKDAY(K$6,1)=1,0,IF(WEEKDAY(K$6,1)=7,K8*K9,IF(IF(AND(IFERROR(INDEX('Job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8"),FALSE))))),MAX(0,K9-8)*K8,0))))+((IF(OR(K8&lt;=0,NOT(OR(AND(IFERROR(INDEX('Job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8"),FALSE))))),MIN(8,K9)*K8,K8*K9)))))-MIN(IF(OR(K8&lt;=0,NOT(OR(AND(IFERROR(INDEX('Job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8"),FALSE))))),MIN(8,K9)*K8,K8*K9)))),MAX(0,40*MAX(1,K8)-(0)))))</f>
        <v>0</v>
      </c>
      <c r="L11" s="61">
        <f>IF(AND(L8=2,L9=8,AND(IFERROR(INDEX('Job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setup'!I$7:I$11,0)),"")&gt;=L$6)))),0,IF(WEEKDAY(L$6,1)=1,0,IF(WEEKDAY(L$6,1)=7,L8*L9,IF(IF(AND(IFERROR(INDEX('Job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8"),FALSE))))),MAX(0,L9-8)*L8,0))))+((IF(OR(L8&lt;=0,NOT(OR(AND(IFERROR(INDEX('Job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8"),FALSE))))),MIN(8,L9)*L8,L8*L9)))))-MIN(IF(OR(L8&lt;=0,NOT(OR(AND(IFERROR(INDEX('Job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8"),FALSE))))),MIN(8,L9)*L8,L8*L9)))),MAX(0,40*MAX(1,L8)-(K10)))))</f>
        <v>0</v>
      </c>
      <c r="M11" s="61">
        <f>IF(AND(M8=2,M9=8,AND(IFERROR(INDEX('Job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setup'!I$7:I$11,0)),"")&gt;=M$6)))),0,IF(WEEKDAY(M$6,1)=1,0,IF(WEEKDAY(M$6,1)=7,M8*M9,IF(IF(AND(IFERROR(INDEX('Job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8"),FALSE))))),MAX(0,M9-8)*M8,0))))+((IF(OR(M8&lt;=0,NOT(OR(AND(IFERROR(INDEX('Job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8"),FALSE))))),MIN(8,M9)*M8,M8*M9)))))-MIN(IF(OR(M8&lt;=0,NOT(OR(AND(IFERROR(INDEX('Job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8"),FALSE))))),MIN(8,M9)*M8,M8*M9)))),MAX(0,40*MAX(1,M8)-(K10+L10)))))</f>
        <v>0</v>
      </c>
      <c r="N11" s="61">
        <f>IF(AND(N8=2,N9=8,AND(IFERROR(INDEX('Job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setup'!I$7:I$11,0)),"")&gt;=N$6)))),0,IF(WEEKDAY(N$6,1)=1,0,IF(WEEKDAY(N$6,1)=7,N8*N9,IF(IF(AND(IFERROR(INDEX('Job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8"),FALSE))))),MAX(0,N9-8)*N8,0))))+((IF(OR(N8&lt;=0,NOT(OR(AND(IFERROR(INDEX('Job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8"),FALSE))))),MIN(8,N9)*N8,N8*N9)))))-MIN(IF(OR(N8&lt;=0,NOT(OR(AND(IFERROR(INDEX('Job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8"),FALSE))))),MIN(8,N9)*N8,N8*N9)))),MAX(0,40*MAX(1,N8)-(K10+L10+M10)))))</f>
        <v>0</v>
      </c>
      <c r="O11" s="61">
        <f>IF(AND(O8=2,O9=8,AND(IFERROR(INDEX('Job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setup'!I$7:I$11,0)),"")&gt;=O$6)))),0,IF(WEEKDAY(O$6,1)=1,0,IF(WEEKDAY(O$6,1)=7,O8*O9,IF(IF(AND(IFERROR(INDEX('Job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8"),FALSE))))),MAX(0,O9-8)*O8,0))))+((IF(OR(O8&lt;=0,NOT(OR(AND(IFERROR(INDEX('Job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8"),FALSE))))),MIN(8,O9)*O8,O8*O9)))))-MIN(IF(OR(O8&lt;=0,NOT(OR(AND(IFERROR(INDEX('Job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8"),FALSE))))),MIN(8,O9)*O8,O8*O9)))),MAX(0,40*MAX(1,O8)-(K10+L10+M10+N10)))))</f>
        <v>0</v>
      </c>
      <c r="P11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setup'!I$7:I$11,0)),"")&gt;=P$6)))),0,IF(WEEKDAY(P$6,1)=1,0,IF(WEEKDAY(P$6,1)=7,P8*P9,IF(IF(AND(IFERROR(INDEX('Job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8"),FALSE))))),MAX(0,P9-8)*P8,0))))+((IF(OR(P8&lt;=0,NOT(OR(AND(IFERROR(INDEX('Job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8"),FALSE))))),MIN(8,P9)*P8,P8*P9)))))-MIN(IF(OR(P8&lt;=0,NOT(OR(AND(IFERROR(INDEX('Job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8"),FALSE))))),MIN(8,P9)*P8,P8*P9)))),MAX(0,40*MAX(1,P8)-(0)))))</f>
        <v>0</v>
      </c>
      <c r="Q11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setup'!I$7:I$11,0)),"")&gt;=Q$6)))),0,IF(WEEKDAY(Q$6,1)=1,0,IF(WEEKDAY(Q$6,1)=7,Q8*Q9,IF(IF(AND(IFERROR(INDEX('Job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8"),FALSE))))),MAX(0,Q9-8)*Q8,0))))+((IF(OR(Q8&lt;=0,NOT(OR(AND(IFERROR(INDEX('Job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8"),FALSE))))),MIN(8,Q9)*Q8,Q8*Q9)))))-MIN(IF(OR(Q8&lt;=0,NOT(OR(AND(IFERROR(INDEX('Job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8"),FALSE))))),MIN(8,Q9)*Q8,Q8*Q9)))),MAX(0,40*MAX(1,Q8)-(P10)))))</f>
        <v>0</v>
      </c>
      <c r="R11" s="61">
        <f>IF(AND(R8=2,R9=8,AND(IFERROR(INDEX('Job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setup'!I$7:I$11,0)),"")&gt;=R$6)))),0,IF(WEEKDAY(R$6,1)=1,0,IF(WEEKDAY(R$6,1)=7,R8*R9,IF(IF(AND(IFERROR(INDEX('Job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8"),FALSE))))),MAX(0,R9-8)*R8,0))))+((IF(OR(R8&lt;=0,NOT(OR(AND(IFERROR(INDEX('Job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8"),FALSE))))),MIN(8,R9)*R8,R8*R9)))))-MIN(IF(OR(R8&lt;=0,NOT(OR(AND(IFERROR(INDEX('Job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8"),FALSE))))),MIN(8,R9)*R8,R8*R9)))),MAX(0,40*MAX(1,R8)-(0)))))</f>
        <v>0</v>
      </c>
      <c r="S11" s="61">
        <f>IF(AND(S8=2,S9=8,AND(IFERROR(INDEX('Job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setup'!I$7:I$11,0)),"")&gt;=S$6)))),0,IF(WEEKDAY(S$6,1)=1,0,IF(WEEKDAY(S$6,1)=7,S8*S9,IF(IF(AND(IFERROR(INDEX('Job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8"),FALSE))))),MAX(0,S9-8)*S8,0))))+((IF(OR(S8&lt;=0,NOT(OR(AND(IFERROR(INDEX('Job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8"),FALSE))))),MIN(8,S9)*S8,S8*S9)))))-MIN(IF(OR(S8&lt;=0,NOT(OR(AND(IFERROR(INDEX('Job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8"),FALSE))))),MIN(8,S9)*S8,S8*S9)))),MAX(0,40*MAX(1,S8)-(R10)))))</f>
        <v>0</v>
      </c>
      <c r="T11" s="61">
        <f>IF(AND(T8=2,T9=8,AND(IFERROR(INDEX('Job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setup'!I$7:I$11,0)),"")&gt;=T$6)))),0,IF(WEEKDAY(T$6,1)=1,0,IF(WEEKDAY(T$6,1)=7,T8*T9,IF(IF(AND(IFERROR(INDEX('Job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8"),FALSE))))),MAX(0,T9-8)*T8,0))))+((IF(OR(T8&lt;=0,NOT(OR(AND(IFERROR(INDEX('Job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8"),FALSE))))),MIN(8,T9)*T8,T8*T9)))))-MIN(IF(OR(T8&lt;=0,NOT(OR(AND(IFERROR(INDEX('Job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8"),FALSE))))),MIN(8,T9)*T8,T8*T9)))),MAX(0,40*MAX(1,T8)-(R10+S10)))))</f>
        <v>0</v>
      </c>
      <c r="U11" s="61">
        <f>IF(AND(U8=2,U9=12,AND(IFERROR(INDEX('Job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setup'!I$7:I$11,0)),"")=0))),8,IF(OR(U8&lt;=0,NOT(OR(AND(IFERROR(INDEX('Job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setup'!I$7:I$11,0)),"")&gt;=U$6)))),0,IF(WEEKDAY(U$6,1)=1,0,IF(WEEKDAY(U$6,1)=7,U8*U9,IF(IF(AND(IFERROR(INDEX('Job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8"),FALSE))))),MAX(0,U9-8)*U8,0))))+((IF(OR(U8&lt;=0,NOT(OR(AND(IFERROR(INDEX('Job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8"),FALSE))))),MIN(8,U9)*U8,U8*U9)))))-MIN(IF(OR(U8&lt;=0,NOT(OR(AND(IFERROR(INDEX('Job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8"),FALSE))))),MIN(8,U9)*U8,U8*U9)))),MAX(0,40*MAX(1,U8)-(0)))))</f>
        <v>8</v>
      </c>
      <c r="V11" s="61">
        <f>IF(AND(V8=2,V9=12,AND(IFERROR(INDEX('Job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setup'!I$7:I$11,0)),"")=0))),8,IF(OR(V8&lt;=0,NOT(OR(AND(IFERROR(INDEX('Job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setup'!I$7:I$11,0)),"")&gt;=V$6)))),0,IF(WEEKDAY(V$6,1)=1,0,IF(WEEKDAY(V$6,1)=7,V8*V9,IF(IF(AND(IFERROR(INDEX('Job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8"),FALSE))))),MAX(0,V9-8)*V8,0))))+((IF(OR(V8&lt;=0,NOT(OR(AND(IFERROR(INDEX('Job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8"),FALSE))))),MIN(8,V9)*V8,V8*V9)))))-MIN(IF(OR(V8&lt;=0,NOT(OR(AND(IFERROR(INDEX('Job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8"),FALSE))))),MIN(8,V9)*V8,V8*V9)))),MAX(0,40*MAX(1,V8)-(U10)))))</f>
        <v>8</v>
      </c>
      <c r="W11" s="62">
        <f>IF(AND(W8=2,W9=12,AND(IFERROR(INDEX('Job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setup'!I$7:I$11,0)),"")=0))),24,IF(OR(W8&lt;=0,NOT(OR(AND(IFERROR(INDEX('Job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setup'!I$7:I$11,0)),"")&gt;=W$6)))),0,IF(WEEKDAY(W$6,1)=1,0,IF(WEEKDAY(W$6,1)=7,W8*W9,IF(IF(AND(IFERROR(INDEX('Job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8"),FALSE))))),MAX(0,W9-8)*W8,0))))+((IF(OR(W8&lt;=0,NOT(OR(AND(IFERROR(INDEX('Job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8"),FALSE))))),MIN(8,W9)*W8,W8*W9)))))-MIN(IF(OR(W8&lt;=0,NOT(OR(AND(IFERROR(INDEX('Job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8"),FALSE))))),MIN(8,W9)*W8,W8*W9)))),MAX(0,40*MAX(1,W8)-(U10+V10)))))</f>
        <v>24</v>
      </c>
      <c r="X11" s="62">
        <f>IF(AND(X8=2,X9=12,AND(IFERROR(INDEX('Job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setup'!I$7:I$11,0)),"")&gt;=X$6)))),0,IF(WEEKDAY(X$6,1)=1,0,IF(WEEKDAY(X$6,1)=7,X8*X9,IF(IF(AND(IFERROR(INDEX('Job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8"),FALSE))))),MAX(0,X9-8)*X8,0))))+((IF(OR(X8&lt;=0,NOT(OR(AND(IFERROR(INDEX('Job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8"),FALSE))))),MIN(8,X9)*X8,X8*X9)))))-MIN(IF(OR(X8&lt;=0,NOT(OR(AND(IFERROR(INDEX('Job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8"),FALSE))))),MIN(8,X9)*X8,X8*X9)))),MAX(0,40*MAX(1,X8)-(U10+V10+W10)))))</f>
        <v>0</v>
      </c>
      <c r="Y11" s="61">
        <f>IF(AND(Y8=2,Y9=12,AND(IFERROR(INDEX('Job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setup'!I$7:I$11,0)),"")=0))),8,IF(OR(Y8&lt;=0,NOT(OR(AND(IFERROR(INDEX('Job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setup'!I$7:I$11,0)),"")&gt;=Y$6)))),0,IF(WEEKDAY(Y$6,1)=1,0,IF(WEEKDAY(Y$6,1)=7,Y8*Y9,IF(IF(AND(IFERROR(INDEX('Job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8"),FALSE))))),MAX(0,Y9-8)*Y8,0))))+((IF(OR(Y8&lt;=0,NOT(OR(AND(IFERROR(INDEX('Job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8"),FALSE))))),MIN(8,Y9)*Y8,Y8*Y9)))))-MIN(IF(OR(Y8&lt;=0,NOT(OR(AND(IFERROR(INDEX('Job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8"),FALSE))))),MIN(8,Y9)*Y8,Y8*Y9)))),MAX(0,40*MAX(1,Y8)-(0)))))</f>
        <v>8</v>
      </c>
      <c r="Z11" s="61">
        <f>IF(AND(Z8=2,Z9=12,AND(IFERROR(INDEX('Job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setup'!I$7:I$11,0)),"")=0))),8,IF(OR(Z8&lt;=0,NOT(OR(AND(IFERROR(INDEX('Job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setup'!I$7:I$11,0)),"")&gt;=Z$6)))),0,IF(WEEKDAY(Z$6,1)=1,0,IF(WEEKDAY(Z$6,1)=7,Z8*Z9,IF(IF(AND(IFERROR(INDEX('Job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8"),FALSE))))),MAX(0,Z9-8)*Z8,0))))+((IF(OR(Z8&lt;=0,NOT(OR(AND(IFERROR(INDEX('Job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8"),FALSE))))),MIN(8,Z9)*Z8,Z8*Z9)))))-MIN(IF(OR(Z8&lt;=0,NOT(OR(AND(IFERROR(INDEX('Job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8"),FALSE))))),MIN(8,Z9)*Z8,Z8*Z9)))),MAX(0,40*MAX(1,Z8)-(Y10)))))</f>
        <v>8</v>
      </c>
      <c r="AA11" s="61">
        <f>IF(AND(AA8=2,AA9=12,AND(IFERROR(INDEX('Job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setup'!I$7:I$11,0)),"")=0))),8,IF(OR(AA8&lt;=0,NOT(OR(AND(IFERROR(INDEX('Job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setup'!I$7:I$11,0)),"")&gt;=AA$6)))),0,IF(WEEKDAY(AA$6,1)=1,0,IF(WEEKDAY(AA$6,1)=7,AA8*AA9,IF(IF(AND(IFERROR(INDEX('Job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8"),FALSE))))),MAX(0,AA9-8)*AA8,0))))+((IF(OR(AA8&lt;=0,NOT(OR(AND(IFERROR(INDEX('Job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8"),FALSE))))),MIN(8,AA9)*AA8,AA8*AA9)))))-MIN(IF(OR(AA8&lt;=0,NOT(OR(AND(IFERROR(INDEX('Job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8"),FALSE))))),MIN(8,AA9)*AA8,AA8*AA9)))),MAX(0,40*MAX(1,AA8)-(Y10+Z10)))))</f>
        <v>8</v>
      </c>
      <c r="AB11" s="61">
        <f>IF(AND(AB8=2,AB9=12,AND(IFERROR(INDEX('Job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setup'!I$7:I$11,0)),"")=0))),8,IF(OR(AB8&lt;=0,NOT(OR(AND(IFERROR(INDEX('Job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setup'!I$7:I$11,0)),"")&gt;=AB$6)))),0,IF(WEEKDAY(AB$6,1)=1,0,IF(WEEKDAY(AB$6,1)=7,AB8*AB9,IF(IF(AND(IFERROR(INDEX('Job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8"),FALSE))))),MAX(0,AB9-8)*AB8,0))))+((IF(OR(AB8&lt;=0,NOT(OR(AND(IFERROR(INDEX('Job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8"),FALSE))))),MIN(8,AB9)*AB8,AB8*AB9)))))-MIN(IF(OR(AB8&lt;=0,NOT(OR(AND(IFERROR(INDEX('Job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8"),FALSE))))),MIN(8,AB9)*AB8,AB8*AB9)))),MAX(0,40*MAX(1,AB8)-(Y10+Z10+AA10)))))</f>
        <v>8</v>
      </c>
      <c r="AC11" s="61">
        <f>IF(AND(AC8=2,AC9=12,AND(IFERROR(INDEX('Job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setup'!I$7:I$11,0)),"")=0))),8,IF(OR(AC8&lt;=0,NOT(OR(AND(IFERROR(INDEX('Job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setup'!I$7:I$11,0)),"")&gt;=AC$6)))),0,IF(WEEKDAY(AC$6,1)=1,0,IF(WEEKDAY(AC$6,1)=7,AC8*AC9,IF(IF(AND(IFERROR(INDEX('Job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8"),FALSE))))),MAX(0,AC9-8)*AC8,0))))+((IF(OR(AC8&lt;=0,NOT(OR(AND(IFERROR(INDEX('Job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8"),FALSE))))),MIN(8,AC9)*AC8,AC8*AC9)))))-MIN(IF(OR(AC8&lt;=0,NOT(OR(AND(IFERROR(INDEX('Job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8"),FALSE))))),MIN(8,AC9)*AC8,AC8*AC9)))),MAX(0,40*MAX(1,AC8)-(Y10+Z10+AA10+AB10)))))</f>
        <v>8</v>
      </c>
      <c r="AD11" s="62">
        <f>IF(AND(AD8=2,AD9=12,AND(IFERROR(INDEX('Job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setup'!I$7:I$11,0)),"")=0))),24,IF(OR(AD8&lt;=0,NOT(OR(AND(IFERROR(INDEX('Job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setup'!I$7:I$11,0)),"")&gt;=AD$6)))),0,IF(WEEKDAY(AD$6,1)=1,0,IF(WEEKDAY(AD$6,1)=7,AD8*AD9,IF(IF(AND(IFERROR(INDEX('Job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8"),FALSE))))),MAX(0,AD9-8)*AD8,0))))+((IF(OR(AD8&lt;=0,NOT(OR(AND(IFERROR(INDEX('Job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8"),FALSE))))),MIN(8,AD9)*AD8,AD8*AD9)))))-MIN(IF(OR(AD8&lt;=0,NOT(OR(AND(IFERROR(INDEX('Job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8"),FALSE))))),MIN(8,AD9)*AD8,AD8*AD9)))),MAX(0,40*MAX(1,AD8)-(Y10+Z10+AA10+AB10+AC10)))))</f>
        <v>24</v>
      </c>
      <c r="AE11" s="62">
        <f>IF(AND(AE8=2,AE9=12,AND(IFERROR(INDEX('Job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setup'!I$7:I$11,0)),"")&gt;=AE$6)))),0,IF(WEEKDAY(AE$6,1)=1,0,IF(WEEKDAY(AE$6,1)=7,AE8*AE9,IF(IF(AND(IFERROR(INDEX('Job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8"),FALSE))))),MAX(0,AE9-8)*AE8,0))))+((IF(OR(AE8&lt;=0,NOT(OR(AND(IFERROR(INDEX('Job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8"),FALSE))))),MIN(8,AE9)*AE8,AE8*AE9)))))-MIN(IF(OR(AE8&lt;=0,NOT(OR(AND(IFERROR(INDEX('Job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8"),FALSE))))),MIN(8,AE9)*AE8,AE8*AE9)))),MAX(0,40*MAX(1,AE8)-(Y10+Z10+AA10+AB10+AC10+AD10)))))</f>
        <v>0</v>
      </c>
      <c r="AF11" s="61">
        <f>IF(AND(AF8=2,AF9=12,AND(IFERROR(INDEX('Job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setup'!I$7:I$11,0)),"")=0))),8,IF(OR(AF8&lt;=0,NOT(OR(AND(IFERROR(INDEX('Job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setup'!I$7:I$11,0)),"")&gt;=AF$6)))),0,IF(WEEKDAY(AF$6,1)=1,0,IF(WEEKDAY(AF$6,1)=7,AF8*AF9,IF(IF(AND(IFERROR(INDEX('Job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8"),FALSE))))),MAX(0,AF9-8)*AF8,0))))+((IF(OR(AF8&lt;=0,NOT(OR(AND(IFERROR(INDEX('Job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8"),FALSE))))),MIN(8,AF9)*AF8,AF8*AF9)))))-MIN(IF(OR(AF8&lt;=0,NOT(OR(AND(IFERROR(INDEX('Job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8"),FALSE))))),MIN(8,AF9)*AF8,AF8*AF9)))),MAX(0,40*MAX(1,AF8)-(0)))))</f>
        <v>8</v>
      </c>
      <c r="AG11" s="61">
        <f>IF(AND(AG8=2,AG9=12,AND(IFERROR(INDEX('Job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setup'!I$7:I$11,0)),"")=0))),8,IF(OR(AG8&lt;=0,NOT(OR(AND(IFERROR(INDEX('Job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setup'!I$7:I$11,0)),"")&gt;=AG$6)))),0,IF(WEEKDAY(AG$6,1)=1,0,IF(WEEKDAY(AG$6,1)=7,AG8*AG9,IF(IF(AND(IFERROR(INDEX('Job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8"),FALSE))))),MAX(0,AG9-8)*AG8,0))))+((IF(OR(AG8&lt;=0,NOT(OR(AND(IFERROR(INDEX('Job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8"),FALSE))))),MIN(8,AG9)*AG8,AG8*AG9)))))-MIN(IF(OR(AG8&lt;=0,NOT(OR(AND(IFERROR(INDEX('Job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8"),FALSE))))),MIN(8,AG9)*AG8,AG8*AG9)))),MAX(0,40*MAX(1,AG8)-(AF10)))))</f>
        <v>8</v>
      </c>
      <c r="AH11" s="61">
        <f>IF(AND(AH8=2,AH9=12,AND(IFERROR(INDEX('Job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setup'!I$7:I$11,0)),"")=0))),8,IF(OR(AH8&lt;=0,NOT(OR(AND(IFERROR(INDEX('Job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setup'!I$7:I$11,0)),"")&gt;=AH$6)))),0,IF(WEEKDAY(AH$6,1)=1,0,IF(WEEKDAY(AH$6,1)=7,AH8*AH9,IF(IF(AND(IFERROR(INDEX('Job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8"),FALSE))))),MAX(0,AH9-8)*AH8,0))))+((IF(OR(AH8&lt;=0,NOT(OR(AND(IFERROR(INDEX('Job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8"),FALSE))))),MIN(8,AH9)*AH8,AH8*AH9)))))-MIN(IF(OR(AH8&lt;=0,NOT(OR(AND(IFERROR(INDEX('Job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8"),FALSE))))),MIN(8,AH9)*AH8,AH8*AH9)))),MAX(0,40*MAX(1,AH8)-(AF10+AG10)))))</f>
        <v>8</v>
      </c>
      <c r="AI11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setup'!I$7:I$11,0)),"")&gt;=AI$6)))),0,IF(WEEKDAY(AI$6,1)=1,0,IF(WEEKDAY(AI$6,1)=7,AI8*AI9,IF(IF(AND(IFERROR(INDEX('Job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8"),FALSE))))),MAX(0,AI9-8)*AI8,0))))+((IF(OR(AI8&lt;=0,NOT(OR(AND(IFERROR(INDEX('Job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8"),FALSE))))),MIN(8,AI9)*AI8,AI8*AI9)))))-MIN(IF(OR(AI8&lt;=0,NOT(OR(AND(IFERROR(INDEX('Job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8"),FALSE))))),MIN(8,AI9)*AI8,AI8*AI9)))),MAX(0,40*MAX(1,AI8)-(0)))))</f>
        <v>0</v>
      </c>
      <c r="AJ11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setup'!I$7:I$11,0)),"")&gt;=AJ$6)))),0,IF(WEEKDAY(AJ$6,1)=1,0,IF(WEEKDAY(AJ$6,1)=7,AJ8*AJ9,IF(IF(AND(IFERROR(INDEX('Job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8"),FALSE))))),MAX(0,AJ9-8)*AJ8,0))))+((IF(OR(AJ8&lt;=0,NOT(OR(AND(IFERROR(INDEX('Job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8"),FALSE))))),MIN(8,AJ9)*AJ8,AJ8*AJ9)))))-MIN(IF(OR(AJ8&lt;=0,NOT(OR(AND(IFERROR(INDEX('Job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8"),FALSE))))),MIN(8,AJ9)*AJ8,AJ8*AJ9)))),MAX(0,40*MAX(1,AJ8)-(AI10)))))</f>
        <v>0</v>
      </c>
      <c r="AK11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setup'!I$7:I$11,0)),"")&gt;=AK$6)))),0,IF(WEEKDAY(AK$6,1)=1,0,IF(WEEKDAY(AK$6,1)=7,AK8*AK9,IF(IF(AND(IFERROR(INDEX('Job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8"),FALSE))))),MAX(0,AK9-8)*AK8,0))))+((IF(OR(AK8&lt;=0,NOT(OR(AND(IFERROR(INDEX('Job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8"),FALSE))))),MIN(8,AK9)*AK8,AK8*AK9)))))-MIN(IF(OR(AK8&lt;=0,NOT(OR(AND(IFERROR(INDEX('Job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8"),FALSE))))),MIN(8,AK9)*AK8,AK8*AK9)))),MAX(0,40*MAX(1,AK8)-(0)))))</f>
        <v>0</v>
      </c>
      <c r="AL11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setup'!I$7:I$11,0)),"")&gt;=AL$6)))),0,IF(WEEKDAY(AL$6,1)=1,0,IF(WEEKDAY(AL$6,1)=7,AL8*AL9,IF(IF(AND(IFERROR(INDEX('Job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8"),FALSE))))),MAX(0,AL9-8)*AL8,0))))+((IF(OR(AL8&lt;=0,NOT(OR(AND(IFERROR(INDEX('Job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8"),FALSE))))),MIN(8,AL9)*AL8,AL8*AL9)))))-MIN(IF(OR(AL8&lt;=0,NOT(OR(AND(IFERROR(INDEX('Job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8"),FALSE))))),MIN(8,AL9)*AL8,AL8*AL9)))),MAX(0,40*MAX(1,AL8)-(AK10)))))</f>
        <v>0</v>
      </c>
      <c r="AM11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setup'!I$7:I$11,0)),"")&gt;=AM$6)))),0,IF(WEEKDAY(AM$6,1)=1,0,IF(WEEKDAY(AM$6,1)=7,AM8*AM9,IF(IF(AND(IFERROR(INDEX('Job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8"),FALSE))))),MAX(0,AM9-8)*AM8,0))))+((IF(OR(AM8&lt;=0,NOT(OR(AND(IFERROR(INDEX('Job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8"),FALSE))))),MIN(8,AM9)*AM8,AM8*AM9)))))-MIN(IF(OR(AM8&lt;=0,NOT(OR(AND(IFERROR(INDEX('Job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8"),FALSE))))),MIN(8,AM9)*AM8,AM8*AM9)))),MAX(0,40*MAX(1,AM8)-(0)))))</f>
        <v>0</v>
      </c>
      <c r="AN11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setup'!I$7:I$11,0)),"")&gt;=AN$6)))),0,IF(WEEKDAY(AN$6,1)=1,0,IF(WEEKDAY(AN$6,1)=7,AN8*AN9,IF(IF(AND(IFERROR(INDEX('Job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8"),FALSE))))),MAX(0,AN9-8)*AN8,0))))+((IF(OR(AN8&lt;=0,NOT(OR(AND(IFERROR(INDEX('Job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8"),FALSE))))),MIN(8,AN9)*AN8,AN8*AN9)))))-MIN(IF(OR(AN8&lt;=0,NOT(OR(AND(IFERROR(INDEX('Job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8"),FALSE))))),MIN(8,AN9)*AN8,AN8*AN9)))),MAX(0,40*MAX(1,AN8)-(AM10)))))</f>
        <v>0</v>
      </c>
      <c r="AO11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setup'!I$7:I$11,0)),"")&gt;=AO$6)))),0,IF(WEEKDAY(AO$6,1)=1,0,IF(WEEKDAY(AO$6,1)=7,AO8*AO9,IF(IF(AND(IFERROR(INDEX('Job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8"),FALSE))))),MAX(0,AO9-8)*AO8,0))))+((IF(OR(AO8&lt;=0,NOT(OR(AND(IFERROR(INDEX('Job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8"),FALSE))))),MIN(8,AO9)*AO8,AO8*AO9)))))-MIN(IF(OR(AO8&lt;=0,NOT(OR(AND(IFERROR(INDEX('Job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8"),FALSE))))),MIN(8,AO9)*AO8,AO8*AO9)))),MAX(0,40*MAX(1,AO8)-(AM10+AN10)))))</f>
        <v>0</v>
      </c>
      <c r="AP11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setup'!I$7:I$11,0)),"")&gt;=AP$6)))),0,IF(WEEKDAY(AP$6,1)=1,0,IF(WEEKDAY(AP$6,1)=7,AP8*AP9,IF(IF(AND(IFERROR(INDEX('Job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8"),FALSE))))),MAX(0,AP9-8)*AP8,0))))+((IF(OR(AP8&lt;=0,NOT(OR(AND(IFERROR(INDEX('Job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8"),FALSE))))),MIN(8,AP9)*AP8,AP8*AP9)))))-MIN(IF(OR(AP8&lt;=0,NOT(OR(AND(IFERROR(INDEX('Job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8"),FALSE))))),MIN(8,AP9)*AP8,AP8*AP9)))),MAX(0,40*MAX(1,AP8)-(AM10+AN10+AO10)))))</f>
        <v>0</v>
      </c>
      <c r="OU11" s="28" t="s">
        <v>79</v>
      </c>
    </row>
    <row r="12" ht="16" customHeight="1" spans="1:411" x14ac:dyDescent="0.25">
      <c r="A12" s="43"/>
      <c r="B12" s="44"/>
      <c r="C12" s="59">
        <f>H7*N(D12)</f>
        <v>9106.56</v>
      </c>
      <c r="D12" s="59">
        <f>IF(TRIM(B7)="","No rate",IFERROR(INDEX('Rate Tables'!E$7:E$161,MATCH(B7,'Rate Tables'!A$7:A$161,0)),"No rate"))</f>
        <v>189.72</v>
      </c>
      <c r="E12" s="53" t="s">
        <v>64</v>
      </c>
      <c r="F12" s="47"/>
      <c r="G12" s="47"/>
      <c r="H12" s="47"/>
      <c r="I12" s="47"/>
      <c r="J12" s="48"/>
      <c r="K12" s="60">
        <f>IF(AND(K8=2,K9=8,AND(IFERROR(INDEX('Job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setup'!I$7:I$11,0)),"")&gt;=K$6)))),0,IF(WEEKDAY(K$6,1)=1,K8*K9,0)))</f>
        <v>0</v>
      </c>
      <c r="L12" s="61">
        <f>IF(AND(L8=2,L9=8,AND(IFERROR(INDEX('Job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setup'!I$7:I$11,0)),"")&gt;=L$6)))),0,IF(WEEKDAY(L$6,1)=1,L8*L9,0)))</f>
        <v>0</v>
      </c>
      <c r="M12" s="61">
        <f>IF(AND(M8=2,M9=8,AND(IFERROR(INDEX('Job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setup'!I$7:I$11,0)),"")&gt;=M$6)))),0,IF(WEEKDAY(M$6,1)=1,M8*M9,0)))</f>
        <v>0</v>
      </c>
      <c r="N12" s="61">
        <f>IF(AND(N8=2,N9=8,AND(IFERROR(INDEX('Job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setup'!I$7:I$11,0)),"")&gt;=N$6)))),0,IF(WEEKDAY(N$6,1)=1,N8*N9,0)))</f>
        <v>0</v>
      </c>
      <c r="O12" s="61">
        <f>IF(AND(O8=2,O9=8,AND(IFERROR(INDEX('Job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setup'!I$7:I$11,0)),"")&gt;=O$6)))),0,IF(WEEKDAY(O$6,1)=1,O8*O9,0)))</f>
        <v>0</v>
      </c>
      <c r="P12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setup'!I$7:I$11,0)),"")&gt;=P$6)))),0,IF(WEEKDAY(P$6,1)=1,P8*P9,0)))</f>
        <v>0</v>
      </c>
      <c r="Q12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setup'!I$7:I$11,0)),"")&gt;=Q$6)))),0,IF(WEEKDAY(Q$6,1)=1,Q8*Q9,0)))</f>
        <v>0</v>
      </c>
      <c r="R12" s="61">
        <f>IF(AND(R8=2,R9=8,AND(IFERROR(INDEX('Job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setup'!I$7:I$11,0)),"")&gt;=R$6)))),0,IF(WEEKDAY(R$6,1)=1,R8*R9,0)))</f>
        <v>0</v>
      </c>
      <c r="S12" s="61">
        <f>IF(AND(S8=2,S9=8,AND(IFERROR(INDEX('Job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setup'!I$7:I$11,0)),"")&gt;=S$6)))),0,IF(WEEKDAY(S$6,1)=1,S8*S9,0)))</f>
        <v>0</v>
      </c>
      <c r="T12" s="61">
        <f>IF(AND(T8=2,T9=8,AND(IFERROR(INDEX('Job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setup'!I$7:I$11,0)),"")&gt;=T$6)))),0,IF(WEEKDAY(T$6,1)=1,T8*T9,0)))</f>
        <v>0</v>
      </c>
      <c r="U12" s="61">
        <f>IF(AND(U8=2,U9=12,AND(IFERROR(INDEX('Job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setup'!I$7:I$11,0)),"")&gt;=U$6)))),0,IF(WEEKDAY(U$6,1)=1,U8*U9,0)))</f>
        <v>0</v>
      </c>
      <c r="V12" s="61">
        <f>IF(AND(V8=2,V9=12,AND(IFERROR(INDEX('Job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setup'!I$7:I$11,0)),"")&gt;=V$6)))),0,IF(WEEKDAY(V$6,1)=1,V8*V9,0)))</f>
        <v>0</v>
      </c>
      <c r="W12" s="62">
        <f>IF(AND(W8=2,W9=12,AND(IFERROR(INDEX('Job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setup'!I$7:I$11,0)),"")&gt;=W$6)))),0,IF(WEEKDAY(W$6,1)=1,W8*W9,0)))</f>
        <v>0</v>
      </c>
      <c r="X12" s="62">
        <f>IF(AND(X8=2,X9=12,AND(IFERROR(INDEX('Job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setup'!I$7:I$11,0)),"")=0))),24,IF(OR(X8&lt;=0,NOT(OR(AND(IFERROR(INDEX('Job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setup'!I$7:I$11,0)),"")&gt;=X$6)))),0,IF(WEEKDAY(X$6,1)=1,X8*X9,0)))</f>
        <v>24</v>
      </c>
      <c r="Y12" s="61">
        <f>IF(AND(Y8=2,Y9=12,AND(IFERROR(INDEX('Job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setup'!I$7:I$11,0)),"")&gt;=Y$6)))),0,IF(WEEKDAY(Y$6,1)=1,Y8*Y9,0)))</f>
        <v>0</v>
      </c>
      <c r="Z12" s="61">
        <f>IF(AND(Z8=2,Z9=12,AND(IFERROR(INDEX('Job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setup'!I$7:I$11,0)),"")&gt;=Z$6)))),0,IF(WEEKDAY(Z$6,1)=1,Z8*Z9,0)))</f>
        <v>0</v>
      </c>
      <c r="AA12" s="61">
        <f>IF(AND(AA8=2,AA9=12,AND(IFERROR(INDEX('Job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setup'!I$7:I$11,0)),"")&gt;=AA$6)))),0,IF(WEEKDAY(AA$6,1)=1,AA8*AA9,0)))</f>
        <v>0</v>
      </c>
      <c r="AB12" s="61">
        <f>IF(AND(AB8=2,AB9=12,AND(IFERROR(INDEX('Job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setup'!I$7:I$11,0)),"")&gt;=AB$6)))),0,IF(WEEKDAY(AB$6,1)=1,AB8*AB9,0)))</f>
        <v>0</v>
      </c>
      <c r="AC12" s="61">
        <f>IF(AND(AC8=2,AC9=12,AND(IFERROR(INDEX('Job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setup'!I$7:I$11,0)),"")&gt;=AC$6)))),0,IF(WEEKDAY(AC$6,1)=1,AC8*AC9,0)))</f>
        <v>0</v>
      </c>
      <c r="AD12" s="62">
        <f>IF(AND(AD8=2,AD9=12,AND(IFERROR(INDEX('Job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setup'!I$7:I$11,0)),"")&gt;=AD$6)))),0,IF(WEEKDAY(AD$6,1)=1,AD8*AD9,0)))</f>
        <v>0</v>
      </c>
      <c r="AE12" s="62">
        <f>IF(AND(AE8=2,AE9=12,AND(IFERROR(INDEX('Job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setup'!I$7:I$11,0)),"")=0))),24,IF(OR(AE8&lt;=0,NOT(OR(AND(IFERROR(INDEX('Job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setup'!I$7:I$11,0)),"")&gt;=AE$6)))),0,IF(WEEKDAY(AE$6,1)=1,AE8*AE9,0)))</f>
        <v>24</v>
      </c>
      <c r="AF12" s="61">
        <f>IF(AND(AF8=2,AF9=12,AND(IFERROR(INDEX('Job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setup'!I$7:I$11,0)),"")&gt;=AF$6)))),0,IF(WEEKDAY(AF$6,1)=1,AF8*AF9,0)))</f>
        <v>0</v>
      </c>
      <c r="AG12" s="61">
        <f>IF(AND(AG8=2,AG9=12,AND(IFERROR(INDEX('Job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setup'!I$7:I$11,0)),"")&gt;=AG$6)))),0,IF(WEEKDAY(AG$6,1)=1,AG8*AG9,0)))</f>
        <v>0</v>
      </c>
      <c r="AH12" s="61">
        <f>IF(AND(AH8=2,AH9=12,AND(IFERROR(INDEX('Job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setup'!I$7:I$11,0)),"")&gt;=AH$6)))),0,IF(WEEKDAY(AH$6,1)=1,AH8*AH9,0)))</f>
        <v>0</v>
      </c>
      <c r="AI12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setup'!I$7:I$11,0)),"")&gt;=AI$6)))),0,IF(WEEKDAY(AI$6,1)=1,AI8*AI9,0)))</f>
        <v>0</v>
      </c>
      <c r="AJ12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setup'!I$7:I$11,0)),"")&gt;=AJ$6)))),0,IF(WEEKDAY(AJ$6,1)=1,AJ8*AJ9,0)))</f>
        <v>0</v>
      </c>
      <c r="AK12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setup'!I$7:I$11,0)),"")&gt;=AK$6)))),0,IF(WEEKDAY(AK$6,1)=1,AK8*AK9,0)))</f>
        <v>0</v>
      </c>
      <c r="AL12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setup'!I$7:I$11,0)),"")&gt;=AL$6)))),0,IF(WEEKDAY(AL$6,1)=1,AL8*AL9,0)))</f>
        <v>0</v>
      </c>
      <c r="AM12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setup'!I$7:I$11,0)),"")&gt;=AM$6)))),0,IF(WEEKDAY(AM$6,1)=1,AM8*AM9,0)))</f>
        <v>0</v>
      </c>
      <c r="AN12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setup'!I$7:I$11,0)),"")&gt;=AN$6)))),0,IF(WEEKDAY(AN$6,1)=1,AN8*AN9,0)))</f>
        <v>0</v>
      </c>
      <c r="AO12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setup'!I$7:I$11,0)),"")&gt;=AO$6)))),0,IF(WEEKDAY(AO$6,1)=1,AO8*AO9,0)))</f>
        <v>0</v>
      </c>
      <c r="AP12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setup'!I$7:I$11,0)),"")&gt;=AP$6)))),0,IF(WEEKDAY(AP$6,1)=1,AP8*AP9,0)))</f>
        <v>0</v>
      </c>
      <c r="OU12" s="28" t="s">
        <v>79</v>
      </c>
    </row>
    <row r="13" ht="16" customHeight="1" spans="1:411" x14ac:dyDescent="0.25">
      <c r="A13" s="43"/>
      <c r="B13" s="44"/>
      <c r="C13" s="65">
        <f>I7*D13</f>
        <v>6500</v>
      </c>
      <c r="D13" s="65">
        <v>130</v>
      </c>
      <c r="E13" s="66" t="s">
        <v>65</v>
      </c>
      <c r="F13" s="47"/>
      <c r="G13" s="47"/>
      <c r="H13" s="47"/>
      <c r="I13" s="47"/>
      <c r="J13" s="48"/>
      <c r="K13" s="67">
        <v>2</v>
      </c>
      <c r="L13" s="68">
        <v>2</v>
      </c>
      <c r="M13" s="68">
        <v>2</v>
      </c>
      <c r="N13" s="68">
        <v>2</v>
      </c>
      <c r="O13" s="68">
        <v>2</v>
      </c>
      <c r="P13" s="69">
        <v>0</v>
      </c>
      <c r="Q13" s="69">
        <v>0</v>
      </c>
      <c r="R13" s="68">
        <v>2</v>
      </c>
      <c r="S13" s="68">
        <v>2</v>
      </c>
      <c r="T13" s="68">
        <v>2</v>
      </c>
      <c r="U13" s="68">
        <v>2</v>
      </c>
      <c r="V13" s="68">
        <v>2</v>
      </c>
      <c r="W13" s="69">
        <v>2</v>
      </c>
      <c r="X13" s="69">
        <v>2</v>
      </c>
      <c r="Y13" s="68">
        <v>2</v>
      </c>
      <c r="Z13" s="68">
        <v>2</v>
      </c>
      <c r="AA13" s="68">
        <v>2</v>
      </c>
      <c r="AB13" s="68">
        <v>2</v>
      </c>
      <c r="AC13" s="68">
        <v>2</v>
      </c>
      <c r="AD13" s="69">
        <v>2</v>
      </c>
      <c r="AE13" s="69">
        <v>2</v>
      </c>
      <c r="AF13" s="68">
        <v>2</v>
      </c>
      <c r="AG13" s="68">
        <v>2</v>
      </c>
      <c r="AH13" s="68">
        <v>2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79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66</v>
      </c>
      <c r="B15" s="44" t="s">
        <v>78</v>
      </c>
      <c r="C15" s="45">
        <f>J15</f>
        <v>58307.2</v>
      </c>
      <c r="D15" s="46"/>
      <c r="E15" s="46"/>
      <c r="F15" s="47">
        <f>SUM(K18:AP18)</f>
        <v>288</v>
      </c>
      <c r="G15" s="47">
        <f>SUM(K19:AP19)</f>
        <v>128</v>
      </c>
      <c r="H15" s="47">
        <f>SUM(K20:AP20)</f>
        <v>48</v>
      </c>
      <c r="I15" s="47">
        <f>SUM(K21:AP21)</f>
        <v>44</v>
      </c>
      <c r="J15" s="48">
        <f>C18+C19+C20</f>
        <v>58307.2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80</v>
      </c>
    </row>
    <row r="16" ht="16" customHeight="1" spans="1:411" x14ac:dyDescent="0.25">
      <c r="A16" s="72"/>
      <c r="B16" s="44"/>
      <c r="C16" s="45"/>
      <c r="D16" s="46"/>
      <c r="E16" s="53" t="s">
        <v>60</v>
      </c>
      <c r="F16" s="47"/>
      <c r="G16" s="47"/>
      <c r="H16" s="47"/>
      <c r="I16" s="47"/>
      <c r="J16" s="48"/>
      <c r="K16" s="54">
        <v>2</v>
      </c>
      <c r="L16" s="55">
        <v>2</v>
      </c>
      <c r="M16" s="55">
        <v>2</v>
      </c>
      <c r="N16" s="55">
        <v>2</v>
      </c>
      <c r="O16" s="55">
        <v>2</v>
      </c>
      <c r="P16" s="56">
        <v>0</v>
      </c>
      <c r="Q16" s="56">
        <v>0</v>
      </c>
      <c r="R16" s="55">
        <v>2</v>
      </c>
      <c r="S16" s="55">
        <v>2</v>
      </c>
      <c r="T16" s="55">
        <v>2</v>
      </c>
      <c r="U16" s="55">
        <v>2</v>
      </c>
      <c r="V16" s="55">
        <v>2</v>
      </c>
      <c r="W16" s="56">
        <v>2</v>
      </c>
      <c r="X16" s="56">
        <v>2</v>
      </c>
      <c r="Y16" s="55">
        <v>2</v>
      </c>
      <c r="Z16" s="55">
        <v>2</v>
      </c>
      <c r="AA16" s="55">
        <v>2</v>
      </c>
      <c r="AB16" s="55">
        <v>2</v>
      </c>
      <c r="AC16" s="55">
        <v>2</v>
      </c>
      <c r="AD16" s="56">
        <v>2</v>
      </c>
      <c r="AE16" s="56">
        <v>2</v>
      </c>
      <c r="AF16" s="55">
        <v>2</v>
      </c>
      <c r="AG16" s="55">
        <v>2</v>
      </c>
      <c r="AH16" s="55">
        <v>2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80</v>
      </c>
    </row>
    <row r="17" ht="16" customHeight="1" spans="1:411" x14ac:dyDescent="0.25">
      <c r="A17" s="72"/>
      <c r="B17" s="44"/>
      <c r="C17" s="45"/>
      <c r="D17" s="46"/>
      <c r="E17" s="53" t="s">
        <v>61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80</v>
      </c>
    </row>
    <row r="18" ht="16" customHeight="1" spans="1:411" x14ac:dyDescent="0.25">
      <c r="A18" s="72"/>
      <c r="B18" s="44"/>
      <c r="C18" s="59">
        <f>F15*N(D18)</f>
        <v>30320.64</v>
      </c>
      <c r="D18" s="59">
        <f>IF(TRIM(B15)="","No rate",IFERROR(INDEX('Rate Tables'!C$7:C$161,MATCH(B15,'Rate Tables'!A$7:A$161,0)),"No rate"))</f>
        <v>105.28</v>
      </c>
      <c r="E18" s="53" t="s">
        <v>62</v>
      </c>
      <c r="F18" s="47"/>
      <c r="G18" s="47"/>
      <c r="H18" s="47"/>
      <c r="I18" s="47"/>
      <c r="J18" s="48"/>
      <c r="K18" s="60">
        <f>IF(AND(K16=2,K17=8,AND(IFERROR(INDEX('Job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hours")),16,MIN(IF(OR(K16&lt;=0,NOT(OR(AND(IFERROR(INDEX('Job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8"),FALSE))))),MIN(8,K17)*K16,K16*K17)))),MAX(0,40*MAX(1,K16)-(0))))</f>
        <v>16</v>
      </c>
      <c r="L18" s="61">
        <f>IF(AND(L16=2,L17=8,AND(IFERROR(INDEX('Job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hours")),16,MIN(IF(OR(L16&lt;=0,NOT(OR(AND(IFERROR(INDEX('Job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8"),FALSE))))),MIN(8,L17)*L16,L16*L17)))),MAX(0,40*MAX(1,L16)-(K18))))</f>
        <v>16</v>
      </c>
      <c r="M18" s="61">
        <f>IF(AND(M16=2,M17=8,AND(IFERROR(INDEX('Job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hours")),16,MIN(IF(OR(M16&lt;=0,NOT(OR(AND(IFERROR(INDEX('Job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8"),FALSE))))),MIN(8,M17)*M16,M16*M17)))),MAX(0,40*MAX(1,M16)-(K18+L18))))</f>
        <v>16</v>
      </c>
      <c r="N18" s="61">
        <f>IF(AND(N16=2,N17=8,AND(IFERROR(INDEX('Job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hours")),16,MIN(IF(OR(N16&lt;=0,NOT(OR(AND(IFERROR(INDEX('Job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8"),FALSE))))),MIN(8,N17)*N16,N16*N17)))),MAX(0,40*MAX(1,N16)-(K18+L18+M18))))</f>
        <v>16</v>
      </c>
      <c r="O18" s="61">
        <f>IF(AND(O16=2,O17=8,AND(IFERROR(INDEX('Job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hours")),16,MIN(IF(OR(O16&lt;=0,NOT(OR(AND(IFERROR(INDEX('Job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8"),FALSE))))),MIN(8,O17)*O16,O16*O17)))),MAX(0,40*MAX(1,O16)-(K18+L18+M18+N18))))</f>
        <v>16</v>
      </c>
      <c r="P18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8"),FALSE))))),MIN(8,P17)*P16,P16*P17)))),MAX(0,40*MAX(1,P16)-(0))))</f>
        <v>0</v>
      </c>
      <c r="Q18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8"),FALSE))))),MIN(8,Q17)*Q16,Q16*Q17)))),MAX(0,40*MAX(1,Q16)-(P18))))</f>
        <v>0</v>
      </c>
      <c r="R18" s="61">
        <f>IF(AND(R16=2,R17=8,AND(IFERROR(INDEX('Job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hours")),16,MIN(IF(OR(R16&lt;=0,NOT(OR(AND(IFERROR(INDEX('Job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8"),FALSE))))),MIN(8,R17)*R16,R16*R17)))),MAX(0,40*MAX(1,R16)-(0))))</f>
        <v>16</v>
      </c>
      <c r="S18" s="61">
        <f>IF(AND(S16=2,S17=8,AND(IFERROR(INDEX('Job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hours")),16,MIN(IF(OR(S16&lt;=0,NOT(OR(AND(IFERROR(INDEX('Job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8"),FALSE))))),MIN(8,S17)*S16,S16*S17)))),MAX(0,40*MAX(1,S16)-(R18))))</f>
        <v>16</v>
      </c>
      <c r="T18" s="61">
        <f>IF(AND(T16=2,T17=8,AND(IFERROR(INDEX('Job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hours")),16,MIN(IF(OR(T16&lt;=0,NOT(OR(AND(IFERROR(INDEX('Job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8"),FALSE))))),MIN(8,T17)*T16,T16*T17)))),MAX(0,40*MAX(1,T16)-(R18+S18))))</f>
        <v>16</v>
      </c>
      <c r="U18" s="61">
        <f>IF(AND(U16=2,U17=12,AND(IFERROR(INDEX('Job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setup'!I$7:I$11,0)),"")=0))),16,MIN(IF(OR(U16&lt;=0,NOT(OR(AND(IFERROR(INDEX('Job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8"),FALSE))))),MIN(8,U17)*U16,U16*U17)))),MAX(0,40*MAX(1,U16)-(0))))</f>
        <v>16</v>
      </c>
      <c r="V18" s="61">
        <f>IF(AND(V16=2,V17=12,AND(IFERROR(INDEX('Job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setup'!I$7:I$11,0)),"")=0))),16,MIN(IF(OR(V16&lt;=0,NOT(OR(AND(IFERROR(INDEX('Job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8"),FALSE))))),MIN(8,V17)*V16,V16*V17)))),MAX(0,40*MAX(1,V16)-(U18))))</f>
        <v>16</v>
      </c>
      <c r="W18" s="62">
        <f>IF(AND(W16=2,W17=12,AND(IFERROR(INDEX('Job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8"),FALSE))))),MIN(8,W17)*W16,W16*W17)))),MAX(0,40*MAX(1,W16)-(U18+V18))))</f>
        <v>0</v>
      </c>
      <c r="X18" s="62">
        <f>IF(AND(X16=2,X17=12,AND(IFERROR(INDEX('Job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8"),FALSE))))),MIN(8,X17)*X16,X16*X17)))),MAX(0,40*MAX(1,X16)-(U18+V18+W18))))</f>
        <v>0</v>
      </c>
      <c r="Y18" s="61">
        <f>IF(AND(Y16=2,Y17=12,AND(IFERROR(INDEX('Job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setup'!I$7:I$11,0)),"")=0))),16,MIN(IF(OR(Y16&lt;=0,NOT(OR(AND(IFERROR(INDEX('Job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8"),FALSE))))),MIN(8,Y17)*Y16,Y16*Y17)))),MAX(0,40*MAX(1,Y16)-(0))))</f>
        <v>16</v>
      </c>
      <c r="Z18" s="61">
        <f>IF(AND(Z16=2,Z17=12,AND(IFERROR(INDEX('Job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setup'!I$7:I$11,0)),"")=0))),16,MIN(IF(OR(Z16&lt;=0,NOT(OR(AND(IFERROR(INDEX('Job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8"),FALSE))))),MIN(8,Z17)*Z16,Z16*Z17)))),MAX(0,40*MAX(1,Z16)-(Y18))))</f>
        <v>16</v>
      </c>
      <c r="AA18" s="61">
        <f>IF(AND(AA16=2,AA17=12,AND(IFERROR(INDEX('Job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setup'!I$7:I$11,0)),"")=0))),16,MIN(IF(OR(AA16&lt;=0,NOT(OR(AND(IFERROR(INDEX('Job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8"),FALSE))))),MIN(8,AA17)*AA16,AA16*AA17)))),MAX(0,40*MAX(1,AA16)-(Y18+Z18))))</f>
        <v>16</v>
      </c>
      <c r="AB18" s="61">
        <f>IF(AND(AB16=2,AB17=12,AND(IFERROR(INDEX('Job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setup'!I$7:I$11,0)),"")=0))),16,MIN(IF(OR(AB16&lt;=0,NOT(OR(AND(IFERROR(INDEX('Job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8"),FALSE))))),MIN(8,AB17)*AB16,AB16*AB17)))),MAX(0,40*MAX(1,AB16)-(Y18+Z18+AA18))))</f>
        <v>16</v>
      </c>
      <c r="AC18" s="61">
        <f>IF(AND(AC16=2,AC17=12,AND(IFERROR(INDEX('Job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setup'!I$7:I$11,0)),"")=0))),16,MIN(IF(OR(AC16&lt;=0,NOT(OR(AND(IFERROR(INDEX('Job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8"),FALSE))))),MIN(8,AC17)*AC16,AC16*AC17)))),MAX(0,40*MAX(1,AC16)-(Y18+Z18+AA18+AB18))))</f>
        <v>16</v>
      </c>
      <c r="AD18" s="62">
        <f>IF(AND(AD16=2,AD17=12,AND(IFERROR(INDEX('Job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8"),FALSE))))),MIN(8,AD17)*AD16,AD16*AD17)))),MAX(0,40*MAX(1,AD16)-(Y18+Z18+AA18+AB18+AC18))))</f>
        <v>0</v>
      </c>
      <c r="AE18" s="62">
        <f>IF(AND(AE16=2,AE17=12,AND(IFERROR(INDEX('Job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8"),FALSE))))),MIN(8,AE17)*AE16,AE16*AE17)))),MAX(0,40*MAX(1,AE16)-(Y18+Z18+AA18+AB18+AC18+AD18))))</f>
        <v>0</v>
      </c>
      <c r="AF18" s="61">
        <f>IF(AND(AF16=2,AF17=12,AND(IFERROR(INDEX('Job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setup'!I$7:I$11,0)),"")=0))),16,MIN(IF(OR(AF16&lt;=0,NOT(OR(AND(IFERROR(INDEX('Job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8"),FALSE))))),MIN(8,AF17)*AF16,AF16*AF17)))),MAX(0,40*MAX(1,AF16)-(0))))</f>
        <v>16</v>
      </c>
      <c r="AG18" s="61">
        <f>IF(AND(AG16=2,AG17=12,AND(IFERROR(INDEX('Job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setup'!I$7:I$11,0)),"")=0))),16,MIN(IF(OR(AG16&lt;=0,NOT(OR(AND(IFERROR(INDEX('Job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8"),FALSE))))),MIN(8,AG17)*AG16,AG16*AG17)))),MAX(0,40*MAX(1,AG16)-(AF18))))</f>
        <v>16</v>
      </c>
      <c r="AH18" s="61">
        <f>IF(AND(AH16=2,AH17=12,AND(IFERROR(INDEX('Job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setup'!I$7:I$11,0)),"")=0))),16,MIN(IF(OR(AH16&lt;=0,NOT(OR(AND(IFERROR(INDEX('Job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8"),FALSE))))),MIN(8,AH17)*AH16,AH16*AH17)))),MAX(0,40*MAX(1,AH16)-(AF18+AG18))))</f>
        <v>16</v>
      </c>
      <c r="AI18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8"),FALSE))))),MIN(8,AI17)*AI16,AI16*AI17)))),MAX(0,40*MAX(1,AI16)-(0))))</f>
        <v>0</v>
      </c>
      <c r="AJ18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8"),FALSE))))),MIN(8,AJ17)*AJ16,AJ16*AJ17)))),MAX(0,40*MAX(1,AJ16)-(AI18))))</f>
        <v>0</v>
      </c>
      <c r="AK18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8"),FALSE))))),MIN(8,AK17)*AK16,AK16*AK17)))),MAX(0,40*MAX(1,AK16)-(AI18+AJ18))))</f>
        <v>0</v>
      </c>
      <c r="AL18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8"),FALSE))))),MIN(8,AL17)*AL16,AL16*AL17)))),MAX(0,40*MAX(1,AL16)-(AI18+AJ18+AK18))))</f>
        <v>0</v>
      </c>
      <c r="AM18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8"),FALSE))))),MIN(8,AM17)*AM16,AM16*AM17)))),MAX(0,40*MAX(1,AM16)-(0))))</f>
        <v>0</v>
      </c>
      <c r="AN18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8"),FALSE))))),MIN(8,AN17)*AN16,AN16*AN17)))),MAX(0,40*MAX(1,AN16)-(AM18))))</f>
        <v>0</v>
      </c>
      <c r="AO18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8"),FALSE))))),MIN(8,AO17)*AO16,AO16*AO17)))),MAX(0,40*MAX(1,AO16)-(AM18+AN18))))</f>
        <v>0</v>
      </c>
      <c r="AP18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8"),FALSE))))),MIN(8,AP17)*AP16,AP16*AP17)))),MAX(0,40*MAX(1,AP16)-(AM18+AN18+AO18))))</f>
        <v>0</v>
      </c>
      <c r="OU18" s="28" t="s">
        <v>80</v>
      </c>
    </row>
    <row r="19" ht="16" customHeight="1" spans="1:411" x14ac:dyDescent="0.25">
      <c r="A19" s="72"/>
      <c r="B19" s="44"/>
      <c r="C19" s="64">
        <f>G15*N(D19)</f>
        <v>18880</v>
      </c>
      <c r="D19" s="64">
        <f>IF(TRIM(B15)="","No rate",IFERROR(INDEX('Rate Tables'!D$7:D$161,MATCH(B15,'Rate Tables'!A$7:A$161,0)),"No rate"))</f>
        <v>147.5</v>
      </c>
      <c r="E19" s="53" t="s">
        <v>63</v>
      </c>
      <c r="F19" s="47"/>
      <c r="G19" s="47"/>
      <c r="H19" s="47"/>
      <c r="I19" s="47"/>
      <c r="J19" s="48"/>
      <c r="K19" s="60">
        <f>IF(AND(K16=2,K17=8,AND(IFERROR(INDEX('Job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setup'!I$7:I$11,0)),"")&gt;=K$6)))),0,IF(WEEKDAY(K$6,1)=1,0,IF(WEEKDAY(K$6,1)=7,K16*K17,IF(IF(AND(IFERROR(INDEX('Job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8"),FALSE))))),MAX(0,K17-8)*K16,0))))+((IF(OR(K16&lt;=0,NOT(OR(AND(IFERROR(INDEX('Job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8"),FALSE))))),MIN(8,K17)*K16,K16*K17)))))-MIN(IF(OR(K16&lt;=0,NOT(OR(AND(IFERROR(INDEX('Job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8"),FALSE))))),MIN(8,K17)*K16,K16*K17)))),MAX(0,40*MAX(1,K16)-(0)))))</f>
        <v>0</v>
      </c>
      <c r="L19" s="61">
        <f>IF(AND(L16=2,L17=8,AND(IFERROR(INDEX('Job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setup'!I$7:I$11,0)),"")&gt;=L$6)))),0,IF(WEEKDAY(L$6,1)=1,0,IF(WEEKDAY(L$6,1)=7,L16*L17,IF(IF(AND(IFERROR(INDEX('Job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8"),FALSE))))),MAX(0,L17-8)*L16,0))))+((IF(OR(L16&lt;=0,NOT(OR(AND(IFERROR(INDEX('Job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8"),FALSE))))),MIN(8,L17)*L16,L16*L17)))))-MIN(IF(OR(L16&lt;=0,NOT(OR(AND(IFERROR(INDEX('Job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8"),FALSE))))),MIN(8,L17)*L16,L16*L17)))),MAX(0,40*MAX(1,L16)-(K18)))))</f>
        <v>0</v>
      </c>
      <c r="M19" s="61">
        <f>IF(AND(M16=2,M17=8,AND(IFERROR(INDEX('Job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setup'!I$7:I$11,0)),"")&gt;=M$6)))),0,IF(WEEKDAY(M$6,1)=1,0,IF(WEEKDAY(M$6,1)=7,M16*M17,IF(IF(AND(IFERROR(INDEX('Job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8"),FALSE))))),MAX(0,M17-8)*M16,0))))+((IF(OR(M16&lt;=0,NOT(OR(AND(IFERROR(INDEX('Job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8"),FALSE))))),MIN(8,M17)*M16,M16*M17)))))-MIN(IF(OR(M16&lt;=0,NOT(OR(AND(IFERROR(INDEX('Job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8"),FALSE))))),MIN(8,M17)*M16,M16*M17)))),MAX(0,40*MAX(1,M16)-(K18+L18)))))</f>
        <v>0</v>
      </c>
      <c r="N19" s="61">
        <f>IF(AND(N16=2,N17=8,AND(IFERROR(INDEX('Job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setup'!I$7:I$11,0)),"")&gt;=N$6)))),0,IF(WEEKDAY(N$6,1)=1,0,IF(WEEKDAY(N$6,1)=7,N16*N17,IF(IF(AND(IFERROR(INDEX('Job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8"),FALSE))))),MAX(0,N17-8)*N16,0))))+((IF(OR(N16&lt;=0,NOT(OR(AND(IFERROR(INDEX('Job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8"),FALSE))))),MIN(8,N17)*N16,N16*N17)))))-MIN(IF(OR(N16&lt;=0,NOT(OR(AND(IFERROR(INDEX('Job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8"),FALSE))))),MIN(8,N17)*N16,N16*N17)))),MAX(0,40*MAX(1,N16)-(K18+L18+M18)))))</f>
        <v>0</v>
      </c>
      <c r="O19" s="61">
        <f>IF(AND(O16=2,O17=8,AND(IFERROR(INDEX('Job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setup'!I$7:I$11,0)),"")&gt;=O$6)))),0,IF(WEEKDAY(O$6,1)=1,0,IF(WEEKDAY(O$6,1)=7,O16*O17,IF(IF(AND(IFERROR(INDEX('Job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8"),FALSE))))),MAX(0,O17-8)*O16,0))))+((IF(OR(O16&lt;=0,NOT(OR(AND(IFERROR(INDEX('Job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8"),FALSE))))),MIN(8,O17)*O16,O16*O17)))))-MIN(IF(OR(O16&lt;=0,NOT(OR(AND(IFERROR(INDEX('Job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8"),FALSE))))),MIN(8,O17)*O16,O16*O17)))),MAX(0,40*MAX(1,O16)-(K18+L18+M18+N18)))))</f>
        <v>0</v>
      </c>
      <c r="P19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setup'!I$7:I$11,0)),"")&gt;=P$6)))),0,IF(WEEKDAY(P$6,1)=1,0,IF(WEEKDAY(P$6,1)=7,P16*P17,IF(IF(AND(IFERROR(INDEX('Job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8"),FALSE))))),MAX(0,P17-8)*P16,0))))+((IF(OR(P16&lt;=0,NOT(OR(AND(IFERROR(INDEX('Job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8"),FALSE))))),MIN(8,P17)*P16,P16*P17)))))-MIN(IF(OR(P16&lt;=0,NOT(OR(AND(IFERROR(INDEX('Job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8"),FALSE))))),MIN(8,P17)*P16,P16*P17)))),MAX(0,40*MAX(1,P16)-(0)))))</f>
        <v>0</v>
      </c>
      <c r="Q19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setup'!I$7:I$11,0)),"")&gt;=Q$6)))),0,IF(WEEKDAY(Q$6,1)=1,0,IF(WEEKDAY(Q$6,1)=7,Q16*Q17,IF(IF(AND(IFERROR(INDEX('Job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8"),FALSE))))),MAX(0,Q17-8)*Q16,0))))+((IF(OR(Q16&lt;=0,NOT(OR(AND(IFERROR(INDEX('Job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8"),FALSE))))),MIN(8,Q17)*Q16,Q16*Q17)))))-MIN(IF(OR(Q16&lt;=0,NOT(OR(AND(IFERROR(INDEX('Job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8"),FALSE))))),MIN(8,Q17)*Q16,Q16*Q17)))),MAX(0,40*MAX(1,Q16)-(P18)))))</f>
        <v>0</v>
      </c>
      <c r="R19" s="61">
        <f>IF(AND(R16=2,R17=8,AND(IFERROR(INDEX('Job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setup'!I$7:I$11,0)),"")&gt;=R$6)))),0,IF(WEEKDAY(R$6,1)=1,0,IF(WEEKDAY(R$6,1)=7,R16*R17,IF(IF(AND(IFERROR(INDEX('Job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8"),FALSE))))),MAX(0,R17-8)*R16,0))))+((IF(OR(R16&lt;=0,NOT(OR(AND(IFERROR(INDEX('Job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8"),FALSE))))),MIN(8,R17)*R16,R16*R17)))))-MIN(IF(OR(R16&lt;=0,NOT(OR(AND(IFERROR(INDEX('Job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8"),FALSE))))),MIN(8,R17)*R16,R16*R17)))),MAX(0,40*MAX(1,R16)-(0)))))</f>
        <v>0</v>
      </c>
      <c r="S19" s="61">
        <f>IF(AND(S16=2,S17=8,AND(IFERROR(INDEX('Job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setup'!I$7:I$11,0)),"")&gt;=S$6)))),0,IF(WEEKDAY(S$6,1)=1,0,IF(WEEKDAY(S$6,1)=7,S16*S17,IF(IF(AND(IFERROR(INDEX('Job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8"),FALSE))))),MAX(0,S17-8)*S16,0))))+((IF(OR(S16&lt;=0,NOT(OR(AND(IFERROR(INDEX('Job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8"),FALSE))))),MIN(8,S17)*S16,S16*S17)))))-MIN(IF(OR(S16&lt;=0,NOT(OR(AND(IFERROR(INDEX('Job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8"),FALSE))))),MIN(8,S17)*S16,S16*S17)))),MAX(0,40*MAX(1,S16)-(R18)))))</f>
        <v>0</v>
      </c>
      <c r="T19" s="61">
        <f>IF(AND(T16=2,T17=8,AND(IFERROR(INDEX('Job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setup'!I$7:I$11,0)),"")&gt;=T$6)))),0,IF(WEEKDAY(T$6,1)=1,0,IF(WEEKDAY(T$6,1)=7,T16*T17,IF(IF(AND(IFERROR(INDEX('Job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8"),FALSE))))),MAX(0,T17-8)*T16,0))))+((IF(OR(T16&lt;=0,NOT(OR(AND(IFERROR(INDEX('Job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8"),FALSE))))),MIN(8,T17)*T16,T16*T17)))))-MIN(IF(OR(T16&lt;=0,NOT(OR(AND(IFERROR(INDEX('Job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8"),FALSE))))),MIN(8,T17)*T16,T16*T17)))),MAX(0,40*MAX(1,T16)-(R18+S18)))))</f>
        <v>0</v>
      </c>
      <c r="U19" s="61">
        <f>IF(AND(U16=2,U17=12,AND(IFERROR(INDEX('Job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setup'!I$7:I$11,0)),"")=0))),8,IF(OR(U16&lt;=0,NOT(OR(AND(IFERROR(INDEX('Job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setup'!I$7:I$11,0)),"")&gt;=U$6)))),0,IF(WEEKDAY(U$6,1)=1,0,IF(WEEKDAY(U$6,1)=7,U16*U17,IF(IF(AND(IFERROR(INDEX('Job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8"),FALSE))))),MAX(0,U17-8)*U16,0))))+((IF(OR(U16&lt;=0,NOT(OR(AND(IFERROR(INDEX('Job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8"),FALSE))))),MIN(8,U17)*U16,U16*U17)))))-MIN(IF(OR(U16&lt;=0,NOT(OR(AND(IFERROR(INDEX('Job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8"),FALSE))))),MIN(8,U17)*U16,U16*U17)))),MAX(0,40*MAX(1,U16)-(0)))))</f>
        <v>8</v>
      </c>
      <c r="V19" s="61">
        <f>IF(AND(V16=2,V17=12,AND(IFERROR(INDEX('Job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setup'!I$7:I$11,0)),"")=0))),8,IF(OR(V16&lt;=0,NOT(OR(AND(IFERROR(INDEX('Job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setup'!I$7:I$11,0)),"")&gt;=V$6)))),0,IF(WEEKDAY(V$6,1)=1,0,IF(WEEKDAY(V$6,1)=7,V16*V17,IF(IF(AND(IFERROR(INDEX('Job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8"),FALSE))))),MAX(0,V17-8)*V16,0))))+((IF(OR(V16&lt;=0,NOT(OR(AND(IFERROR(INDEX('Job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8"),FALSE))))),MIN(8,V17)*V16,V16*V17)))))-MIN(IF(OR(V16&lt;=0,NOT(OR(AND(IFERROR(INDEX('Job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8"),FALSE))))),MIN(8,V17)*V16,V16*V17)))),MAX(0,40*MAX(1,V16)-(U18)))))</f>
        <v>8</v>
      </c>
      <c r="W19" s="62">
        <f>IF(AND(W16=2,W17=12,AND(IFERROR(INDEX('Job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setup'!I$7:I$11,0)),"")=0))),24,IF(OR(W16&lt;=0,NOT(OR(AND(IFERROR(INDEX('Job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setup'!I$7:I$11,0)),"")&gt;=W$6)))),0,IF(WEEKDAY(W$6,1)=1,0,IF(WEEKDAY(W$6,1)=7,W16*W17,IF(IF(AND(IFERROR(INDEX('Job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8"),FALSE))))),MAX(0,W17-8)*W16,0))))+((IF(OR(W16&lt;=0,NOT(OR(AND(IFERROR(INDEX('Job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8"),FALSE))))),MIN(8,W17)*W16,W16*W17)))))-MIN(IF(OR(W16&lt;=0,NOT(OR(AND(IFERROR(INDEX('Job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8"),FALSE))))),MIN(8,W17)*W16,W16*W17)))),MAX(0,40*MAX(1,W16)-(U18+V18)))))</f>
        <v>24</v>
      </c>
      <c r="X19" s="62">
        <f>IF(AND(X16=2,X17=12,AND(IFERROR(INDEX('Job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setup'!I$7:I$11,0)),"")&gt;=X$6)))),0,IF(WEEKDAY(X$6,1)=1,0,IF(WEEKDAY(X$6,1)=7,X16*X17,IF(IF(AND(IFERROR(INDEX('Job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8"),FALSE))))),MAX(0,X17-8)*X16,0))))+((IF(OR(X16&lt;=0,NOT(OR(AND(IFERROR(INDEX('Job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8"),FALSE))))),MIN(8,X17)*X16,X16*X17)))))-MIN(IF(OR(X16&lt;=0,NOT(OR(AND(IFERROR(INDEX('Job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8"),FALSE))))),MIN(8,X17)*X16,X16*X17)))),MAX(0,40*MAX(1,X16)-(U18+V18+W18)))))</f>
        <v>0</v>
      </c>
      <c r="Y19" s="61">
        <f>IF(AND(Y16=2,Y17=12,AND(IFERROR(INDEX('Job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setup'!I$7:I$11,0)),"")=0))),8,IF(OR(Y16&lt;=0,NOT(OR(AND(IFERROR(INDEX('Job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setup'!I$7:I$11,0)),"")&gt;=Y$6)))),0,IF(WEEKDAY(Y$6,1)=1,0,IF(WEEKDAY(Y$6,1)=7,Y16*Y17,IF(IF(AND(IFERROR(INDEX('Job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8"),FALSE))))),MAX(0,Y17-8)*Y16,0))))+((IF(OR(Y16&lt;=0,NOT(OR(AND(IFERROR(INDEX('Job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8"),FALSE))))),MIN(8,Y17)*Y16,Y16*Y17)))))-MIN(IF(OR(Y16&lt;=0,NOT(OR(AND(IFERROR(INDEX('Job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8"),FALSE))))),MIN(8,Y17)*Y16,Y16*Y17)))),MAX(0,40*MAX(1,Y16)-(0)))))</f>
        <v>8</v>
      </c>
      <c r="Z19" s="61">
        <f>IF(AND(Z16=2,Z17=12,AND(IFERROR(INDEX('Job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setup'!I$7:I$11,0)),"")=0))),8,IF(OR(Z16&lt;=0,NOT(OR(AND(IFERROR(INDEX('Job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setup'!I$7:I$11,0)),"")&gt;=Z$6)))),0,IF(WEEKDAY(Z$6,1)=1,0,IF(WEEKDAY(Z$6,1)=7,Z16*Z17,IF(IF(AND(IFERROR(INDEX('Job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8"),FALSE))))),MAX(0,Z17-8)*Z16,0))))+((IF(OR(Z16&lt;=0,NOT(OR(AND(IFERROR(INDEX('Job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8"),FALSE))))),MIN(8,Z17)*Z16,Z16*Z17)))))-MIN(IF(OR(Z16&lt;=0,NOT(OR(AND(IFERROR(INDEX('Job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8"),FALSE))))),MIN(8,Z17)*Z16,Z16*Z17)))),MAX(0,40*MAX(1,Z16)-(Y18)))))</f>
        <v>8</v>
      </c>
      <c r="AA19" s="61">
        <f>IF(AND(AA16=2,AA17=12,AND(IFERROR(INDEX('Job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setup'!I$7:I$11,0)),"")=0))),8,IF(OR(AA16&lt;=0,NOT(OR(AND(IFERROR(INDEX('Job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setup'!I$7:I$11,0)),"")&gt;=AA$6)))),0,IF(WEEKDAY(AA$6,1)=1,0,IF(WEEKDAY(AA$6,1)=7,AA16*AA17,IF(IF(AND(IFERROR(INDEX('Job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8"),FALSE))))),MAX(0,AA17-8)*AA16,0))))+((IF(OR(AA16&lt;=0,NOT(OR(AND(IFERROR(INDEX('Job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8"),FALSE))))),MIN(8,AA17)*AA16,AA16*AA17)))))-MIN(IF(OR(AA16&lt;=0,NOT(OR(AND(IFERROR(INDEX('Job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8"),FALSE))))),MIN(8,AA17)*AA16,AA16*AA17)))),MAX(0,40*MAX(1,AA16)-(Y18+Z18)))))</f>
        <v>8</v>
      </c>
      <c r="AB19" s="61">
        <f>IF(AND(AB16=2,AB17=12,AND(IFERROR(INDEX('Job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setup'!I$7:I$11,0)),"")=0))),8,IF(OR(AB16&lt;=0,NOT(OR(AND(IFERROR(INDEX('Job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setup'!I$7:I$11,0)),"")&gt;=AB$6)))),0,IF(WEEKDAY(AB$6,1)=1,0,IF(WEEKDAY(AB$6,1)=7,AB16*AB17,IF(IF(AND(IFERROR(INDEX('Job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8"),FALSE))))),MAX(0,AB17-8)*AB16,0))))+((IF(OR(AB16&lt;=0,NOT(OR(AND(IFERROR(INDEX('Job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8"),FALSE))))),MIN(8,AB17)*AB16,AB16*AB17)))))-MIN(IF(OR(AB16&lt;=0,NOT(OR(AND(IFERROR(INDEX('Job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8"),FALSE))))),MIN(8,AB17)*AB16,AB16*AB17)))),MAX(0,40*MAX(1,AB16)-(Y18+Z18+AA18)))))</f>
        <v>8</v>
      </c>
      <c r="AC19" s="61">
        <f>IF(AND(AC16=2,AC17=12,AND(IFERROR(INDEX('Job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setup'!I$7:I$11,0)),"")=0))),8,IF(OR(AC16&lt;=0,NOT(OR(AND(IFERROR(INDEX('Job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setup'!I$7:I$11,0)),"")&gt;=AC$6)))),0,IF(WEEKDAY(AC$6,1)=1,0,IF(WEEKDAY(AC$6,1)=7,AC16*AC17,IF(IF(AND(IFERROR(INDEX('Job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8"),FALSE))))),MAX(0,AC17-8)*AC16,0))))+((IF(OR(AC16&lt;=0,NOT(OR(AND(IFERROR(INDEX('Job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8"),FALSE))))),MIN(8,AC17)*AC16,AC16*AC17)))))-MIN(IF(OR(AC16&lt;=0,NOT(OR(AND(IFERROR(INDEX('Job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8"),FALSE))))),MIN(8,AC17)*AC16,AC16*AC17)))),MAX(0,40*MAX(1,AC16)-(Y18+Z18+AA18+AB18)))))</f>
        <v>8</v>
      </c>
      <c r="AD19" s="62">
        <f>IF(AND(AD16=2,AD17=12,AND(IFERROR(INDEX('Job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setup'!I$7:I$11,0)),"")=0))),24,IF(OR(AD16&lt;=0,NOT(OR(AND(IFERROR(INDEX('Job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setup'!I$7:I$11,0)),"")&gt;=AD$6)))),0,IF(WEEKDAY(AD$6,1)=1,0,IF(WEEKDAY(AD$6,1)=7,AD16*AD17,IF(IF(AND(IFERROR(INDEX('Job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8"),FALSE))))),MAX(0,AD17-8)*AD16,0))))+((IF(OR(AD16&lt;=0,NOT(OR(AND(IFERROR(INDEX('Job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8"),FALSE))))),MIN(8,AD17)*AD16,AD16*AD17)))))-MIN(IF(OR(AD16&lt;=0,NOT(OR(AND(IFERROR(INDEX('Job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8"),FALSE))))),MIN(8,AD17)*AD16,AD16*AD17)))),MAX(0,40*MAX(1,AD16)-(Y18+Z18+AA18+AB18+AC18)))))</f>
        <v>24</v>
      </c>
      <c r="AE19" s="62">
        <f>IF(AND(AE16=2,AE17=12,AND(IFERROR(INDEX('Job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setup'!I$7:I$11,0)),"")&gt;=AE$6)))),0,IF(WEEKDAY(AE$6,1)=1,0,IF(WEEKDAY(AE$6,1)=7,AE16*AE17,IF(IF(AND(IFERROR(INDEX('Job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8"),FALSE))))),MAX(0,AE17-8)*AE16,0))))+((IF(OR(AE16&lt;=0,NOT(OR(AND(IFERROR(INDEX('Job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8"),FALSE))))),MIN(8,AE17)*AE16,AE16*AE17)))))-MIN(IF(OR(AE16&lt;=0,NOT(OR(AND(IFERROR(INDEX('Job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8"),FALSE))))),MIN(8,AE17)*AE16,AE16*AE17)))),MAX(0,40*MAX(1,AE16)-(Y18+Z18+AA18+AB18+AC18+AD18)))))</f>
        <v>0</v>
      </c>
      <c r="AF19" s="61">
        <f>IF(AND(AF16=2,AF17=12,AND(IFERROR(INDEX('Job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setup'!I$7:I$11,0)),"")=0))),8,IF(OR(AF16&lt;=0,NOT(OR(AND(IFERROR(INDEX('Job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setup'!I$7:I$11,0)),"")&gt;=AF$6)))),0,IF(WEEKDAY(AF$6,1)=1,0,IF(WEEKDAY(AF$6,1)=7,AF16*AF17,IF(IF(AND(IFERROR(INDEX('Job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8"),FALSE))))),MAX(0,AF17-8)*AF16,0))))+((IF(OR(AF16&lt;=0,NOT(OR(AND(IFERROR(INDEX('Job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8"),FALSE))))),MIN(8,AF17)*AF16,AF16*AF17)))))-MIN(IF(OR(AF16&lt;=0,NOT(OR(AND(IFERROR(INDEX('Job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8"),FALSE))))),MIN(8,AF17)*AF16,AF16*AF17)))),MAX(0,40*MAX(1,AF16)-(0)))))</f>
        <v>8</v>
      </c>
      <c r="AG19" s="61">
        <f>IF(AND(AG16=2,AG17=12,AND(IFERROR(INDEX('Job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setup'!I$7:I$11,0)),"")=0))),8,IF(OR(AG16&lt;=0,NOT(OR(AND(IFERROR(INDEX('Job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setup'!I$7:I$11,0)),"")&gt;=AG$6)))),0,IF(WEEKDAY(AG$6,1)=1,0,IF(WEEKDAY(AG$6,1)=7,AG16*AG17,IF(IF(AND(IFERROR(INDEX('Job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8"),FALSE))))),MAX(0,AG17-8)*AG16,0))))+((IF(OR(AG16&lt;=0,NOT(OR(AND(IFERROR(INDEX('Job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8"),FALSE))))),MIN(8,AG17)*AG16,AG16*AG17)))))-MIN(IF(OR(AG16&lt;=0,NOT(OR(AND(IFERROR(INDEX('Job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8"),FALSE))))),MIN(8,AG17)*AG16,AG16*AG17)))),MAX(0,40*MAX(1,AG16)-(AF18)))))</f>
        <v>8</v>
      </c>
      <c r="AH19" s="61">
        <f>IF(AND(AH16=2,AH17=12,AND(IFERROR(INDEX('Job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setup'!I$7:I$11,0)),"")=0))),8,IF(OR(AH16&lt;=0,NOT(OR(AND(IFERROR(INDEX('Job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setup'!I$7:I$11,0)),"")&gt;=AH$6)))),0,IF(WEEKDAY(AH$6,1)=1,0,IF(WEEKDAY(AH$6,1)=7,AH16*AH17,IF(IF(AND(IFERROR(INDEX('Job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8"),FALSE))))),MAX(0,AH17-8)*AH16,0))))+((IF(OR(AH16&lt;=0,NOT(OR(AND(IFERROR(INDEX('Job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8"),FALSE))))),MIN(8,AH17)*AH16,AH16*AH17)))))-MIN(IF(OR(AH16&lt;=0,NOT(OR(AND(IFERROR(INDEX('Job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8"),FALSE))))),MIN(8,AH17)*AH16,AH16*AH17)))),MAX(0,40*MAX(1,AH16)-(AF18+AG18)))))</f>
        <v>8</v>
      </c>
      <c r="AI19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setup'!I$7:I$11,0)),"")&gt;=AI$6)))),0,IF(WEEKDAY(AI$6,1)=1,0,IF(WEEKDAY(AI$6,1)=7,AI16*AI17,IF(IF(AND(IFERROR(INDEX('Job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8"),FALSE))))),MAX(0,AI17-8)*AI16,0))))+((IF(OR(AI16&lt;=0,NOT(OR(AND(IFERROR(INDEX('Job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8"),FALSE))))),MIN(8,AI17)*AI16,AI16*AI17)))))-MIN(IF(OR(AI16&lt;=0,NOT(OR(AND(IFERROR(INDEX('Job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8"),FALSE))))),MIN(8,AI17)*AI16,AI16*AI17)))),MAX(0,40*MAX(1,AI16)-(0)))))</f>
        <v>0</v>
      </c>
      <c r="AJ19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setup'!I$7:I$11,0)),"")&gt;=AJ$6)))),0,IF(WEEKDAY(AJ$6,1)=1,0,IF(WEEKDAY(AJ$6,1)=7,AJ16*AJ17,IF(IF(AND(IFERROR(INDEX('Job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8"),FALSE))))),MAX(0,AJ17-8)*AJ16,0))))+((IF(OR(AJ16&lt;=0,NOT(OR(AND(IFERROR(INDEX('Job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8"),FALSE))))),MIN(8,AJ17)*AJ16,AJ16*AJ17)))))-MIN(IF(OR(AJ16&lt;=0,NOT(OR(AND(IFERROR(INDEX('Job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8"),FALSE))))),MIN(8,AJ17)*AJ16,AJ16*AJ17)))),MAX(0,40*MAX(1,AJ16)-(AI18)))))</f>
        <v>0</v>
      </c>
      <c r="AK19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setup'!I$7:I$11,0)),"")&gt;=AK$6)))),0,IF(WEEKDAY(AK$6,1)=1,0,IF(WEEKDAY(AK$6,1)=7,AK16*AK17,IF(IF(AND(IFERROR(INDEX('Job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8"),FALSE))))),MAX(0,AK17-8)*AK16,0))))+((IF(OR(AK16&lt;=0,NOT(OR(AND(IFERROR(INDEX('Job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8"),FALSE))))),MIN(8,AK17)*AK16,AK16*AK17)))))-MIN(IF(OR(AK16&lt;=0,NOT(OR(AND(IFERROR(INDEX('Job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8"),FALSE))))),MIN(8,AK17)*AK16,AK16*AK17)))),MAX(0,40*MAX(1,AK16)-(AI18+AJ18)))))</f>
        <v>0</v>
      </c>
      <c r="AL19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setup'!I$7:I$11,0)),"")&gt;=AL$6)))),0,IF(WEEKDAY(AL$6,1)=1,0,IF(WEEKDAY(AL$6,1)=7,AL16*AL17,IF(IF(AND(IFERROR(INDEX('Job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8"),FALSE))))),MAX(0,AL17-8)*AL16,0))))+((IF(OR(AL16&lt;=0,NOT(OR(AND(IFERROR(INDEX('Job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8"),FALSE))))),MIN(8,AL17)*AL16,AL16*AL17)))))-MIN(IF(OR(AL16&lt;=0,NOT(OR(AND(IFERROR(INDEX('Job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8"),FALSE))))),MIN(8,AL17)*AL16,AL16*AL17)))),MAX(0,40*MAX(1,AL16)-(AI18+AJ18+AK18)))))</f>
        <v>0</v>
      </c>
      <c r="AM19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setup'!I$7:I$11,0)),"")&gt;=AM$6)))),0,IF(WEEKDAY(AM$6,1)=1,0,IF(WEEKDAY(AM$6,1)=7,AM16*AM17,IF(IF(AND(IFERROR(INDEX('Job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8"),FALSE))))),MAX(0,AM17-8)*AM16,0))))+((IF(OR(AM16&lt;=0,NOT(OR(AND(IFERROR(INDEX('Job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8"),FALSE))))),MIN(8,AM17)*AM16,AM16*AM17)))))-MIN(IF(OR(AM16&lt;=0,NOT(OR(AND(IFERROR(INDEX('Job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8"),FALSE))))),MIN(8,AM17)*AM16,AM16*AM17)))),MAX(0,40*MAX(1,AM16)-(0)))))</f>
        <v>0</v>
      </c>
      <c r="AN19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setup'!I$7:I$11,0)),"")&gt;=AN$6)))),0,IF(WEEKDAY(AN$6,1)=1,0,IF(WEEKDAY(AN$6,1)=7,AN16*AN17,IF(IF(AND(IFERROR(INDEX('Job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8"),FALSE))))),MAX(0,AN17-8)*AN16,0))))+((IF(OR(AN16&lt;=0,NOT(OR(AND(IFERROR(INDEX('Job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8"),FALSE))))),MIN(8,AN17)*AN16,AN16*AN17)))))-MIN(IF(OR(AN16&lt;=0,NOT(OR(AND(IFERROR(INDEX('Job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8"),FALSE))))),MIN(8,AN17)*AN16,AN16*AN17)))),MAX(0,40*MAX(1,AN16)-(AM18)))))</f>
        <v>0</v>
      </c>
      <c r="AO19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setup'!I$7:I$11,0)),"")&gt;=AO$6)))),0,IF(WEEKDAY(AO$6,1)=1,0,IF(WEEKDAY(AO$6,1)=7,AO16*AO17,IF(IF(AND(IFERROR(INDEX('Job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8"),FALSE))))),MAX(0,AO17-8)*AO16,0))))+((IF(OR(AO16&lt;=0,NOT(OR(AND(IFERROR(INDEX('Job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8"),FALSE))))),MIN(8,AO17)*AO16,AO16*AO17)))))-MIN(IF(OR(AO16&lt;=0,NOT(OR(AND(IFERROR(INDEX('Job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8"),FALSE))))),MIN(8,AO17)*AO16,AO16*AO17)))),MAX(0,40*MAX(1,AO16)-(AM18+AN18)))))</f>
        <v>0</v>
      </c>
      <c r="AP19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setup'!I$7:I$11,0)),"")&gt;=AP$6)))),0,IF(WEEKDAY(AP$6,1)=1,0,IF(WEEKDAY(AP$6,1)=7,AP16*AP17,IF(IF(AND(IFERROR(INDEX('Job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8"),FALSE))))),MAX(0,AP17-8)*AP16,0))))+((IF(OR(AP16&lt;=0,NOT(OR(AND(IFERROR(INDEX('Job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8"),FALSE))))),MIN(8,AP17)*AP16,AP16*AP17)))))-MIN(IF(OR(AP16&lt;=0,NOT(OR(AND(IFERROR(INDEX('Job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8"),FALSE))))),MIN(8,AP17)*AP16,AP16*AP17)))),MAX(0,40*MAX(1,AP16)-(AM18+AN18+AO18)))))</f>
        <v>0</v>
      </c>
      <c r="OU19" s="28" t="s">
        <v>80</v>
      </c>
    </row>
    <row r="20" ht="16" customHeight="1" spans="1:411" x14ac:dyDescent="0.25">
      <c r="A20" s="72"/>
      <c r="B20" s="44"/>
      <c r="C20" s="59">
        <f>H15*N(D20)</f>
        <v>9106.56</v>
      </c>
      <c r="D20" s="59">
        <f>IF(TRIM(B15)="","No rate",IFERROR(INDEX('Rate Tables'!E$7:E$161,MATCH(B15,'Rate Tables'!A$7:A$161,0)),"No rate"))</f>
        <v>189.72</v>
      </c>
      <c r="E20" s="53" t="s">
        <v>64</v>
      </c>
      <c r="F20" s="47"/>
      <c r="G20" s="47"/>
      <c r="H20" s="47"/>
      <c r="I20" s="47"/>
      <c r="J20" s="48"/>
      <c r="K20" s="60">
        <f>IF(AND(K16=2,K17=8,AND(IFERROR(INDEX('Job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setup'!I$7:I$11,0)),"")&gt;=K$6)))),0,IF(WEEKDAY(K$6,1)=1,K16*K17,0)))</f>
        <v>0</v>
      </c>
      <c r="L20" s="61">
        <f>IF(AND(L16=2,L17=8,AND(IFERROR(INDEX('Job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setup'!I$7:I$11,0)),"")&gt;=L$6)))),0,IF(WEEKDAY(L$6,1)=1,L16*L17,0)))</f>
        <v>0</v>
      </c>
      <c r="M20" s="61">
        <f>IF(AND(M16=2,M17=8,AND(IFERROR(INDEX('Job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setup'!I$7:I$11,0)),"")&gt;=M$6)))),0,IF(WEEKDAY(M$6,1)=1,M16*M17,0)))</f>
        <v>0</v>
      </c>
      <c r="N20" s="61">
        <f>IF(AND(N16=2,N17=8,AND(IFERROR(INDEX('Job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setup'!I$7:I$11,0)),"")&gt;=N$6)))),0,IF(WEEKDAY(N$6,1)=1,N16*N17,0)))</f>
        <v>0</v>
      </c>
      <c r="O20" s="61">
        <f>IF(AND(O16=2,O17=8,AND(IFERROR(INDEX('Job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setup'!I$7:I$11,0)),"")&gt;=O$6)))),0,IF(WEEKDAY(O$6,1)=1,O16*O17,0)))</f>
        <v>0</v>
      </c>
      <c r="P20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setup'!I$7:I$11,0)),"")&gt;=P$6)))),0,IF(WEEKDAY(P$6,1)=1,P16*P17,0)))</f>
        <v>0</v>
      </c>
      <c r="Q20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setup'!I$7:I$11,0)),"")&gt;=Q$6)))),0,IF(WEEKDAY(Q$6,1)=1,Q16*Q17,0)))</f>
        <v>0</v>
      </c>
      <c r="R20" s="61">
        <f>IF(AND(R16=2,R17=8,AND(IFERROR(INDEX('Job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setup'!I$7:I$11,0)),"")&gt;=R$6)))),0,IF(WEEKDAY(R$6,1)=1,R16*R17,0)))</f>
        <v>0</v>
      </c>
      <c r="S20" s="61">
        <f>IF(AND(S16=2,S17=8,AND(IFERROR(INDEX('Job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setup'!I$7:I$11,0)),"")&gt;=S$6)))),0,IF(WEEKDAY(S$6,1)=1,S16*S17,0)))</f>
        <v>0</v>
      </c>
      <c r="T20" s="61">
        <f>IF(AND(T16=2,T17=8,AND(IFERROR(INDEX('Job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setup'!I$7:I$11,0)),"")&gt;=T$6)))),0,IF(WEEKDAY(T$6,1)=1,T16*T17,0)))</f>
        <v>0</v>
      </c>
      <c r="U20" s="61">
        <f>IF(AND(U16=2,U17=12,AND(IFERROR(INDEX('Job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setup'!I$7:I$11,0)),"")&gt;=U$6)))),0,IF(WEEKDAY(U$6,1)=1,U16*U17,0)))</f>
        <v>0</v>
      </c>
      <c r="V20" s="61">
        <f>IF(AND(V16=2,V17=12,AND(IFERROR(INDEX('Job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setup'!I$7:I$11,0)),"")&gt;=V$6)))),0,IF(WEEKDAY(V$6,1)=1,V16*V17,0)))</f>
        <v>0</v>
      </c>
      <c r="W20" s="62">
        <f>IF(AND(W16=2,W17=12,AND(IFERROR(INDEX('Job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setup'!I$7:I$11,0)),"")&gt;=W$6)))),0,IF(WEEKDAY(W$6,1)=1,W16*W17,0)))</f>
        <v>0</v>
      </c>
      <c r="X20" s="62">
        <f>IF(AND(X16=2,X17=12,AND(IFERROR(INDEX('Job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setup'!I$7:I$11,0)),"")=0))),24,IF(OR(X16&lt;=0,NOT(OR(AND(IFERROR(INDEX('Job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setup'!I$7:I$11,0)),"")&gt;=X$6)))),0,IF(WEEKDAY(X$6,1)=1,X16*X17,0)))</f>
        <v>24</v>
      </c>
      <c r="Y20" s="61">
        <f>IF(AND(Y16=2,Y17=12,AND(IFERROR(INDEX('Job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setup'!I$7:I$11,0)),"")&gt;=Y$6)))),0,IF(WEEKDAY(Y$6,1)=1,Y16*Y17,0)))</f>
        <v>0</v>
      </c>
      <c r="Z20" s="61">
        <f>IF(AND(Z16=2,Z17=12,AND(IFERROR(INDEX('Job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setup'!I$7:I$11,0)),"")&gt;=Z$6)))),0,IF(WEEKDAY(Z$6,1)=1,Z16*Z17,0)))</f>
        <v>0</v>
      </c>
      <c r="AA20" s="61">
        <f>IF(AND(AA16=2,AA17=12,AND(IFERROR(INDEX('Job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setup'!I$7:I$11,0)),"")&gt;=AA$6)))),0,IF(WEEKDAY(AA$6,1)=1,AA16*AA17,0)))</f>
        <v>0</v>
      </c>
      <c r="AB20" s="61">
        <f>IF(AND(AB16=2,AB17=12,AND(IFERROR(INDEX('Job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setup'!I$7:I$11,0)),"")&gt;=AB$6)))),0,IF(WEEKDAY(AB$6,1)=1,AB16*AB17,0)))</f>
        <v>0</v>
      </c>
      <c r="AC20" s="61">
        <f>IF(AND(AC16=2,AC17=12,AND(IFERROR(INDEX('Job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setup'!I$7:I$11,0)),"")&gt;=AC$6)))),0,IF(WEEKDAY(AC$6,1)=1,AC16*AC17,0)))</f>
        <v>0</v>
      </c>
      <c r="AD20" s="62">
        <f>IF(AND(AD16=2,AD17=12,AND(IFERROR(INDEX('Job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setup'!I$7:I$11,0)),"")&gt;=AD$6)))),0,IF(WEEKDAY(AD$6,1)=1,AD16*AD17,0)))</f>
        <v>0</v>
      </c>
      <c r="AE20" s="62">
        <f>IF(AND(AE16=2,AE17=12,AND(IFERROR(INDEX('Job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setup'!I$7:I$11,0)),"")=0))),24,IF(OR(AE16&lt;=0,NOT(OR(AND(IFERROR(INDEX('Job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setup'!I$7:I$11,0)),"")&gt;=AE$6)))),0,IF(WEEKDAY(AE$6,1)=1,AE16*AE17,0)))</f>
        <v>24</v>
      </c>
      <c r="AF20" s="61">
        <f>IF(AND(AF16=2,AF17=12,AND(IFERROR(INDEX('Job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setup'!I$7:I$11,0)),"")&gt;=AF$6)))),0,IF(WEEKDAY(AF$6,1)=1,AF16*AF17,0)))</f>
        <v>0</v>
      </c>
      <c r="AG20" s="61">
        <f>IF(AND(AG16=2,AG17=12,AND(IFERROR(INDEX('Job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setup'!I$7:I$11,0)),"")&gt;=AG$6)))),0,IF(WEEKDAY(AG$6,1)=1,AG16*AG17,0)))</f>
        <v>0</v>
      </c>
      <c r="AH20" s="61">
        <f>IF(AND(AH16=2,AH17=12,AND(IFERROR(INDEX('Job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setup'!I$7:I$11,0)),"")&gt;=AH$6)))),0,IF(WEEKDAY(AH$6,1)=1,AH16*AH17,0)))</f>
        <v>0</v>
      </c>
      <c r="AI20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setup'!I$7:I$11,0)),"")&gt;=AI$6)))),0,IF(WEEKDAY(AI$6,1)=1,AI16*AI17,0)))</f>
        <v>0</v>
      </c>
      <c r="AJ20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setup'!I$7:I$11,0)),"")&gt;=AJ$6)))),0,IF(WEEKDAY(AJ$6,1)=1,AJ16*AJ17,0)))</f>
        <v>0</v>
      </c>
      <c r="AK20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setup'!I$7:I$11,0)),"")&gt;=AK$6)))),0,IF(WEEKDAY(AK$6,1)=1,AK16*AK17,0)))</f>
        <v>0</v>
      </c>
      <c r="AL20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setup'!I$7:I$11,0)),"")&gt;=AL$6)))),0,IF(WEEKDAY(AL$6,1)=1,AL16*AL17,0)))</f>
        <v>0</v>
      </c>
      <c r="AM20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setup'!I$7:I$11,0)),"")&gt;=AM$6)))),0,IF(WEEKDAY(AM$6,1)=1,AM16*AM17,0)))</f>
        <v>0</v>
      </c>
      <c r="AN20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setup'!I$7:I$11,0)),"")&gt;=AN$6)))),0,IF(WEEKDAY(AN$6,1)=1,AN16*AN17,0)))</f>
        <v>0</v>
      </c>
      <c r="AO20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setup'!I$7:I$11,0)),"")&gt;=AO$6)))),0,IF(WEEKDAY(AO$6,1)=1,AO16*AO17,0)))</f>
        <v>0</v>
      </c>
      <c r="AP20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setup'!I$7:I$11,0)),"")&gt;=AP$6)))),0,IF(WEEKDAY(AP$6,1)=1,AP16*AP17,0)))</f>
        <v>0</v>
      </c>
      <c r="OU20" s="28" t="s">
        <v>80</v>
      </c>
    </row>
    <row r="21" ht="16" customHeight="1" spans="1:411" x14ac:dyDescent="0.25">
      <c r="A21" s="72"/>
      <c r="B21" s="44"/>
      <c r="C21" s="65">
        <f>I15*D21</f>
        <v>5720</v>
      </c>
      <c r="D21" s="65">
        <v>130</v>
      </c>
      <c r="E21" s="66" t="s">
        <v>65</v>
      </c>
      <c r="F21" s="47"/>
      <c r="G21" s="47"/>
      <c r="H21" s="47"/>
      <c r="I21" s="47"/>
      <c r="J21" s="48"/>
      <c r="K21" s="67">
        <v>2</v>
      </c>
      <c r="L21" s="68">
        <v>2</v>
      </c>
      <c r="M21" s="68">
        <v>2</v>
      </c>
      <c r="N21" s="68">
        <v>2</v>
      </c>
      <c r="O21" s="68">
        <v>2</v>
      </c>
      <c r="P21" s="69">
        <v>0</v>
      </c>
      <c r="Q21" s="69">
        <v>0</v>
      </c>
      <c r="R21" s="68">
        <v>2</v>
      </c>
      <c r="S21" s="68">
        <v>2</v>
      </c>
      <c r="T21" s="68">
        <v>2</v>
      </c>
      <c r="U21" s="68">
        <v>2</v>
      </c>
      <c r="V21" s="68">
        <v>2</v>
      </c>
      <c r="W21" s="69">
        <v>2</v>
      </c>
      <c r="X21" s="69">
        <v>2</v>
      </c>
      <c r="Y21" s="68">
        <v>2</v>
      </c>
      <c r="Z21" s="68">
        <v>2</v>
      </c>
      <c r="AA21" s="68">
        <v>2</v>
      </c>
      <c r="AB21" s="68">
        <v>2</v>
      </c>
      <c r="AC21" s="68">
        <v>2</v>
      </c>
      <c r="AD21" s="69">
        <v>2</v>
      </c>
      <c r="AE21" s="69">
        <v>2</v>
      </c>
      <c r="AF21" s="68">
        <v>2</v>
      </c>
      <c r="AG21" s="68">
        <v>2</v>
      </c>
      <c r="AH21" s="68">
        <v>2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80</v>
      </c>
    </row>
    <row r="22" ht="16" customHeight="1" spans="1:411" x14ac:dyDescent="0.25">
      <c r="A22" s="16" t="s">
        <v>77</v>
      </c>
      <c r="B22" s="17"/>
      <c r="C22" s="73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3">
        <f>SUM(J7,J15)</f>
        <v>121667.84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2">
    <dataValidation type="list" allowBlank="1" sqref="B15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26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35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39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41</v>
      </c>
      <c r="L5" s="40" t="s">
        <v>42</v>
      </c>
      <c r="M5" s="40" t="s">
        <v>43</v>
      </c>
      <c r="N5" s="40" t="s">
        <v>44</v>
      </c>
      <c r="O5" s="40" t="s">
        <v>45</v>
      </c>
      <c r="P5" s="40" t="s">
        <v>46</v>
      </c>
      <c r="Q5" s="40" t="s">
        <v>47</v>
      </c>
      <c r="R5" s="40" t="s">
        <v>41</v>
      </c>
      <c r="S5" s="40" t="s">
        <v>42</v>
      </c>
      <c r="T5" s="40" t="s">
        <v>43</v>
      </c>
      <c r="U5" s="40" t="s">
        <v>44</v>
      </c>
      <c r="V5" s="40" t="s">
        <v>45</v>
      </c>
      <c r="W5" s="40" t="s">
        <v>46</v>
      </c>
      <c r="X5" s="40" t="s">
        <v>47</v>
      </c>
      <c r="Y5" s="40" t="s">
        <v>41</v>
      </c>
      <c r="Z5" s="40" t="s">
        <v>42</v>
      </c>
      <c r="AA5" s="40" t="s">
        <v>43</v>
      </c>
      <c r="AB5" s="40" t="s">
        <v>44</v>
      </c>
      <c r="AC5" s="40" t="s">
        <v>45</v>
      </c>
      <c r="AD5" s="40" t="s">
        <v>46</v>
      </c>
      <c r="AE5" s="40" t="s">
        <v>47</v>
      </c>
      <c r="AF5" s="40" t="s">
        <v>41</v>
      </c>
      <c r="AG5" s="40" t="s">
        <v>42</v>
      </c>
      <c r="AH5" s="40" t="s">
        <v>43</v>
      </c>
      <c r="AI5" s="40" t="s">
        <v>44</v>
      </c>
      <c r="AJ5" s="40" t="s">
        <v>45</v>
      </c>
      <c r="AK5" s="40" t="s">
        <v>46</v>
      </c>
      <c r="AL5" s="40" t="s">
        <v>47</v>
      </c>
      <c r="AM5" s="40" t="s">
        <v>41</v>
      </c>
      <c r="AN5" s="40" t="s">
        <v>42</v>
      </c>
      <c r="AO5" s="40" t="s">
        <v>43</v>
      </c>
      <c r="AP5" s="40" t="s">
        <v>44</v>
      </c>
    </row>
    <row r="6" ht="22" customHeight="1" spans="1:42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57</v>
      </c>
      <c r="B7" s="44" t="s">
        <v>81</v>
      </c>
      <c r="C7" s="45">
        <f>J7</f>
        <v>468723.36</v>
      </c>
      <c r="D7" s="46"/>
      <c r="E7" s="46"/>
      <c r="F7" s="47">
        <f>SUM(K10:AP10)</f>
        <v>2336</v>
      </c>
      <c r="G7" s="47">
        <f>SUM(K11:AP11)</f>
        <v>1152</v>
      </c>
      <c r="H7" s="47">
        <f>SUM(K12:AP12)</f>
        <v>432</v>
      </c>
      <c r="I7" s="47">
        <f>SUM(K13:AP13)</f>
        <v>210</v>
      </c>
      <c r="J7" s="48">
        <f>C10+C11+C12</f>
        <v>468723.36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82</v>
      </c>
    </row>
    <row r="8" ht="16" customHeight="1" spans="1:411" x14ac:dyDescent="0.25">
      <c r="A8" s="43"/>
      <c r="B8" s="44"/>
      <c r="C8" s="45"/>
      <c r="D8" s="46"/>
      <c r="E8" s="53" t="s">
        <v>60</v>
      </c>
      <c r="F8" s="47"/>
      <c r="G8" s="47"/>
      <c r="H8" s="47"/>
      <c r="I8" s="47"/>
      <c r="J8" s="48"/>
      <c r="K8" s="54">
        <v>8</v>
      </c>
      <c r="L8" s="55">
        <v>8</v>
      </c>
      <c r="M8" s="55">
        <v>8</v>
      </c>
      <c r="N8" s="55">
        <v>8</v>
      </c>
      <c r="O8" s="55">
        <v>8</v>
      </c>
      <c r="P8" s="56">
        <v>0</v>
      </c>
      <c r="Q8" s="56">
        <v>0</v>
      </c>
      <c r="R8" s="55">
        <v>8</v>
      </c>
      <c r="S8" s="55">
        <v>8</v>
      </c>
      <c r="T8" s="55">
        <v>8</v>
      </c>
      <c r="U8" s="55">
        <v>18</v>
      </c>
      <c r="V8" s="55">
        <v>18</v>
      </c>
      <c r="W8" s="56">
        <v>18</v>
      </c>
      <c r="X8" s="56">
        <v>18</v>
      </c>
      <c r="Y8" s="55">
        <v>18</v>
      </c>
      <c r="Z8" s="55">
        <v>18</v>
      </c>
      <c r="AA8" s="55">
        <v>18</v>
      </c>
      <c r="AB8" s="55">
        <v>18</v>
      </c>
      <c r="AC8" s="55">
        <v>18</v>
      </c>
      <c r="AD8" s="56">
        <v>18</v>
      </c>
      <c r="AE8" s="56">
        <v>18</v>
      </c>
      <c r="AF8" s="55">
        <v>18</v>
      </c>
      <c r="AG8" s="55">
        <v>18</v>
      </c>
      <c r="AH8" s="55">
        <v>18</v>
      </c>
      <c r="AI8" s="55">
        <v>8</v>
      </c>
      <c r="AJ8" s="55">
        <v>8</v>
      </c>
      <c r="AK8" s="56">
        <v>0</v>
      </c>
      <c r="AL8" s="56">
        <v>0</v>
      </c>
      <c r="AM8" s="55">
        <v>8</v>
      </c>
      <c r="AN8" s="55">
        <v>8</v>
      </c>
      <c r="AO8" s="55">
        <v>8</v>
      </c>
      <c r="AP8" s="57">
        <v>8</v>
      </c>
      <c r="OU8" s="58" t="s">
        <v>82</v>
      </c>
    </row>
    <row r="9" ht="16" customHeight="1" spans="1:411" x14ac:dyDescent="0.25">
      <c r="A9" s="43"/>
      <c r="B9" s="44"/>
      <c r="C9" s="45"/>
      <c r="D9" s="46"/>
      <c r="E9" s="53" t="s">
        <v>61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82</v>
      </c>
    </row>
    <row r="10" ht="16" customHeight="1" spans="1:411" x14ac:dyDescent="0.25">
      <c r="A10" s="43"/>
      <c r="B10" s="44"/>
      <c r="C10" s="59">
        <f>F7*N(D10)</f>
        <v>232034.88</v>
      </c>
      <c r="D10" s="59">
        <f>IF(TRIM(B7)="","No rate",IFERROR(INDEX('Rate Tables'!C$7:C$161,MATCH(B7,'Rate Tables'!A$7:A$161,0)),"No rate"))</f>
        <v>99.33</v>
      </c>
      <c r="E10" s="53" t="s">
        <v>62</v>
      </c>
      <c r="F10" s="47"/>
      <c r="G10" s="47"/>
      <c r="H10" s="47"/>
      <c r="I10" s="47"/>
      <c r="J10" s="48"/>
      <c r="K10" s="60">
        <f>IF(AND(K8=8,K9=8,AND(IFERROR(INDEX('Job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hours")),64,MIN(IF(OR(K8&lt;=0,NOT(OR(AND(IFERROR(INDEX('Job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8"),FALSE))))),MIN(8,K9)*K8,K8*K9)))),MAX(0,40*MAX(1,K8)-(0))))</f>
        <v>64</v>
      </c>
      <c r="L10" s="61">
        <f>IF(AND(L8=8,L9=8,AND(IFERROR(INDEX('Job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hours")),64,MIN(IF(OR(L8&lt;=0,NOT(OR(AND(IFERROR(INDEX('Job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8"),FALSE))))),MIN(8,L9)*L8,L8*L9)))),MAX(0,40*MAX(1,L8)-(K10))))</f>
        <v>64</v>
      </c>
      <c r="M10" s="61">
        <f>IF(AND(M8=8,M9=8,AND(IFERROR(INDEX('Job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hours")),64,MIN(IF(OR(M8&lt;=0,NOT(OR(AND(IFERROR(INDEX('Job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8"),FALSE))))),MIN(8,M9)*M8,M8*M9)))),MAX(0,40*MAX(1,M8)-(K10+L10))))</f>
        <v>64</v>
      </c>
      <c r="N10" s="61">
        <f>IF(AND(N8=8,N9=8,AND(IFERROR(INDEX('Job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hours")),64,MIN(IF(OR(N8&lt;=0,NOT(OR(AND(IFERROR(INDEX('Job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8"),FALSE))))),MIN(8,N9)*N8,N8*N9)))),MAX(0,40*MAX(1,N8)-(K10+L10+M10))))</f>
        <v>64</v>
      </c>
      <c r="O10" s="61">
        <f>IF(AND(O8=8,O9=8,AND(IFERROR(INDEX('Job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hours")),64,MIN(IF(OR(O8&lt;=0,NOT(OR(AND(IFERROR(INDEX('Job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8"),FALSE))))),MIN(8,O9)*O8,O8*O9)))),MAX(0,40*MAX(1,O8)-(K10+L10+M10+N10))))</f>
        <v>64</v>
      </c>
      <c r="P10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8"),FALSE))))),MIN(8,P9)*P8,P8*P9)))),MAX(0,40*MAX(1,P8)-(0))))</f>
        <v>0</v>
      </c>
      <c r="Q10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8"),FALSE))))),MIN(8,Q9)*Q8,Q8*Q9)))),MAX(0,40*MAX(1,Q8)-(P10))))</f>
        <v>0</v>
      </c>
      <c r="R10" s="61">
        <f>IF(AND(R8=8,R9=8,AND(IFERROR(INDEX('Job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hours")),64,MIN(IF(OR(R8&lt;=0,NOT(OR(AND(IFERROR(INDEX('Job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8"),FALSE))))),MIN(8,R9)*R8,R8*R9)))),MAX(0,40*MAX(1,R8)-(0))))</f>
        <v>64</v>
      </c>
      <c r="S10" s="61">
        <f>IF(AND(S8=8,S9=8,AND(IFERROR(INDEX('Job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hours")),64,MIN(IF(OR(S8&lt;=0,NOT(OR(AND(IFERROR(INDEX('Job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8"),FALSE))))),MIN(8,S9)*S8,S8*S9)))),MAX(0,40*MAX(1,S8)-(R10))))</f>
        <v>64</v>
      </c>
      <c r="T10" s="61">
        <f>IF(AND(T8=8,T9=8,AND(IFERROR(INDEX('Job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hours")),64,MIN(IF(OR(T8&lt;=0,NOT(OR(AND(IFERROR(INDEX('Job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8"),FALSE))))),MIN(8,T9)*T8,T8*T9)))),MAX(0,40*MAX(1,T8)-(R10+S10))))</f>
        <v>64</v>
      </c>
      <c r="U10" s="61">
        <f>IF(AND(U8=18,U9=12,AND(IFERROR(INDEX('Job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setup'!I$7:I$11,0)),"")=0))),144,MIN(IF(OR(U8&lt;=0,NOT(OR(AND(IFERROR(INDEX('Job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8"),FALSE))))),MIN(8,U9)*U8,U8*U9)))),MAX(0,40*MAX(1,U8)-(0))))</f>
        <v>144</v>
      </c>
      <c r="V10" s="61">
        <f>IF(AND(V8=18,V9=12,AND(IFERROR(INDEX('Job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setup'!I$7:I$11,0)),"")=0))),144,MIN(IF(OR(V8&lt;=0,NOT(OR(AND(IFERROR(INDEX('Job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8"),FALSE))))),MIN(8,V9)*V8,V8*V9)))),MAX(0,40*MAX(1,V8)-(U10))))</f>
        <v>144</v>
      </c>
      <c r="W10" s="62">
        <f>IF(AND(W8=18,W9=12,AND(IFERROR(INDEX('Job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8"),FALSE))))),MIN(8,W9)*W8,W8*W9)))),MAX(0,40*MAX(1,W8)-(U10+V10))))</f>
        <v>0</v>
      </c>
      <c r="X10" s="62">
        <f>IF(AND(X8=18,X9=12,AND(IFERROR(INDEX('Job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8"),FALSE))))),MIN(8,X9)*X8,X8*X9)))),MAX(0,40*MAX(1,X8)-(U10+V10+W10))))</f>
        <v>0</v>
      </c>
      <c r="Y10" s="61">
        <f>IF(AND(Y8=18,Y9=12,AND(IFERROR(INDEX('Job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setup'!I$7:I$11,0)),"")=0))),144,MIN(IF(OR(Y8&lt;=0,NOT(OR(AND(IFERROR(INDEX('Job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8"),FALSE))))),MIN(8,Y9)*Y8,Y8*Y9)))),MAX(0,40*MAX(1,Y8)-(0))))</f>
        <v>144</v>
      </c>
      <c r="Z10" s="61">
        <f>IF(AND(Z8=18,Z9=12,AND(IFERROR(INDEX('Job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setup'!I$7:I$11,0)),"")=0))),144,MIN(IF(OR(Z8&lt;=0,NOT(OR(AND(IFERROR(INDEX('Job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8"),FALSE))))),MIN(8,Z9)*Z8,Z8*Z9)))),MAX(0,40*MAX(1,Z8)-(Y10))))</f>
        <v>144</v>
      </c>
      <c r="AA10" s="61">
        <f>IF(AND(AA8=18,AA9=12,AND(IFERROR(INDEX('Job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setup'!I$7:I$11,0)),"")=0))),144,MIN(IF(OR(AA8&lt;=0,NOT(OR(AND(IFERROR(INDEX('Job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8"),FALSE))))),MIN(8,AA9)*AA8,AA8*AA9)))),MAX(0,40*MAX(1,AA8)-(Y10+Z10))))</f>
        <v>144</v>
      </c>
      <c r="AB10" s="61">
        <f>IF(AND(AB8=18,AB9=12,AND(IFERROR(INDEX('Job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setup'!I$7:I$11,0)),"")=0))),144,MIN(IF(OR(AB8&lt;=0,NOT(OR(AND(IFERROR(INDEX('Job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8"),FALSE))))),MIN(8,AB9)*AB8,AB8*AB9)))),MAX(0,40*MAX(1,AB8)-(Y10+Z10+AA10))))</f>
        <v>144</v>
      </c>
      <c r="AC10" s="61">
        <f>IF(AND(AC8=18,AC9=12,AND(IFERROR(INDEX('Job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setup'!I$7:I$11,0)),"")=0))),144,MIN(IF(OR(AC8&lt;=0,NOT(OR(AND(IFERROR(INDEX('Job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8"),FALSE))))),MIN(8,AC9)*AC8,AC8*AC9)))),MAX(0,40*MAX(1,AC8)-(Y10+Z10+AA10+AB10))))</f>
        <v>144</v>
      </c>
      <c r="AD10" s="62">
        <f>IF(AND(AD8=18,AD9=12,AND(IFERROR(INDEX('Job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8"),FALSE))))),MIN(8,AD9)*AD8,AD8*AD9)))),MAX(0,40*MAX(1,AD8)-(Y10+Z10+AA10+AB10+AC10))))</f>
        <v>0</v>
      </c>
      <c r="AE10" s="62">
        <f>IF(AND(AE8=18,AE9=12,AND(IFERROR(INDEX('Job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8"),FALSE))))),MIN(8,AE9)*AE8,AE8*AE9)))),MAX(0,40*MAX(1,AE8)-(Y10+Z10+AA10+AB10+AC10+AD10))))</f>
        <v>0</v>
      </c>
      <c r="AF10" s="61">
        <f>IF(AND(AF8=18,AF9=12,AND(IFERROR(INDEX('Job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setup'!I$7:I$11,0)),"")=0))),144,MIN(IF(OR(AF8&lt;=0,NOT(OR(AND(IFERROR(INDEX('Job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8"),FALSE))))),MIN(8,AF9)*AF8,AF8*AF9)))),MAX(0,40*MAX(1,AF8)-(0))))</f>
        <v>144</v>
      </c>
      <c r="AG10" s="61">
        <f>IF(AND(AG8=18,AG9=12,AND(IFERROR(INDEX('Job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setup'!I$7:I$11,0)),"")=0))),144,MIN(IF(OR(AG8&lt;=0,NOT(OR(AND(IFERROR(INDEX('Job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8"),FALSE))))),MIN(8,AG9)*AG8,AG8*AG9)))),MAX(0,40*MAX(1,AG8)-(AF10))))</f>
        <v>144</v>
      </c>
      <c r="AH10" s="61">
        <f>IF(AND(AH8=18,AH9=12,AND(IFERROR(INDEX('Job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setup'!I$7:I$11,0)),"")=0))),144,MIN(IF(OR(AH8&lt;=0,NOT(OR(AND(IFERROR(INDEX('Job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8"),FALSE))))),MIN(8,AH9)*AH8,AH8*AH9)))),MAX(0,40*MAX(1,AH8)-(AF10+AG10))))</f>
        <v>144</v>
      </c>
      <c r="AI10" s="61">
        <f>IF(AND(AI8=8,AI9=8,AND(IFERROR(INDEX('Job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hours")),64,MIN(IF(OR(AI8&lt;=0,NOT(OR(AND(IFERROR(INDEX('Job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8"),FALSE))))),MIN(8,AI9)*AI8,AI8*AI9)))),MAX(0,40*MAX(1,AI8)-(0))))</f>
        <v>64</v>
      </c>
      <c r="AJ10" s="61">
        <f>IF(AND(AJ8=8,AJ9=8,AND(IFERROR(INDEX('Job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hours")),64,MIN(IF(OR(AJ8&lt;=0,NOT(OR(AND(IFERROR(INDEX('Job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8"),FALSE))))),MIN(8,AJ9)*AJ8,AJ8*AJ9)))),MAX(0,40*MAX(1,AJ8)-(AI10))))</f>
        <v>64</v>
      </c>
      <c r="AK10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8"),FALSE))))),MIN(8,AK9)*AK8,AK8*AK9)))),MAX(0,40*MAX(1,AK8)-(0))))</f>
        <v>0</v>
      </c>
      <c r="AL10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8"),FALSE))))),MIN(8,AL9)*AL8,AL8*AL9)))),MAX(0,40*MAX(1,AL8)-(AK10))))</f>
        <v>0</v>
      </c>
      <c r="AM10" s="61">
        <f>IF(AND(AM8=8,AM9=8,AND(IFERROR(INDEX('Job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hours")),64,MIN(IF(OR(AM8&lt;=0,NOT(OR(AND(IFERROR(INDEX('Job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8"),FALSE))))),MIN(8,AM9)*AM8,AM8*AM9)))),MAX(0,40*MAX(1,AM8)-(0))))</f>
        <v>64</v>
      </c>
      <c r="AN10" s="61">
        <f>IF(AND(AN8=8,AN9=8,AND(IFERROR(INDEX('Job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hours")),64,MIN(IF(OR(AN8&lt;=0,NOT(OR(AND(IFERROR(INDEX('Job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8"),FALSE))))),MIN(8,AN9)*AN8,AN8*AN9)))),MAX(0,40*MAX(1,AN8)-(AM10))))</f>
        <v>64</v>
      </c>
      <c r="AO10" s="61">
        <f>IF(AND(AO8=8,AO9=8,AND(IFERROR(INDEX('Job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hours")),64,MIN(IF(OR(AO8&lt;=0,NOT(OR(AND(IFERROR(INDEX('Job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8"),FALSE))))),MIN(8,AO9)*AO8,AO8*AO9)))),MAX(0,40*MAX(1,AO8)-(AM10+AN10))))</f>
        <v>64</v>
      </c>
      <c r="AP10" s="63">
        <f>IF(AND(AP8=8,AP9=8,AND(IFERROR(INDEX('Job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hours")),64,MIN(IF(OR(AP8&lt;=0,NOT(OR(AND(IFERROR(INDEX('Job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8"),FALSE))))),MIN(8,AP9)*AP8,AP8*AP9)))),MAX(0,40*MAX(1,AP8)-(AM10+AN10+AO10))))</f>
        <v>64</v>
      </c>
      <c r="OU10" s="28" t="s">
        <v>82</v>
      </c>
    </row>
    <row r="11" ht="16" customHeight="1" spans="1:411" x14ac:dyDescent="0.25">
      <c r="A11" s="43"/>
      <c r="B11" s="44"/>
      <c r="C11" s="64">
        <f>G7*N(D11)</f>
        <v>159770.88</v>
      </c>
      <c r="D11" s="64">
        <f>IF(TRIM(B7)="","No rate",IFERROR(INDEX('Rate Tables'!D$7:D$161,MATCH(B7,'Rate Tables'!A$7:A$161,0)),"No rate"))</f>
        <v>138.69</v>
      </c>
      <c r="E11" s="53" t="s">
        <v>63</v>
      </c>
      <c r="F11" s="47"/>
      <c r="G11" s="47"/>
      <c r="H11" s="47"/>
      <c r="I11" s="47"/>
      <c r="J11" s="48"/>
      <c r="K11" s="60">
        <f>IF(AND(K8=8,K9=8,AND(IFERROR(INDEX('Job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setup'!I$7:I$11,0)),"")&gt;=K$6)))),0,IF(WEEKDAY(K$6,1)=1,0,IF(WEEKDAY(K$6,1)=7,K8*K9,IF(IF(AND(IFERROR(INDEX('Job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8"),FALSE))))),MAX(0,K9-8)*K8,0))))+((IF(OR(K8&lt;=0,NOT(OR(AND(IFERROR(INDEX('Job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8"),FALSE))))),MIN(8,K9)*K8,K8*K9)))))-MIN(IF(OR(K8&lt;=0,NOT(OR(AND(IFERROR(INDEX('Job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8"),FALSE))))),MIN(8,K9)*K8,K8*K9)))),MAX(0,40*MAX(1,K8)-(0)))))</f>
        <v>0</v>
      </c>
      <c r="L11" s="61">
        <f>IF(AND(L8=8,L9=8,AND(IFERROR(INDEX('Job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setup'!I$7:I$11,0)),"")&gt;=L$6)))),0,IF(WEEKDAY(L$6,1)=1,0,IF(WEEKDAY(L$6,1)=7,L8*L9,IF(IF(AND(IFERROR(INDEX('Job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8"),FALSE))))),MAX(0,L9-8)*L8,0))))+((IF(OR(L8&lt;=0,NOT(OR(AND(IFERROR(INDEX('Job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8"),FALSE))))),MIN(8,L9)*L8,L8*L9)))))-MIN(IF(OR(L8&lt;=0,NOT(OR(AND(IFERROR(INDEX('Job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8"),FALSE))))),MIN(8,L9)*L8,L8*L9)))),MAX(0,40*MAX(1,L8)-(K10)))))</f>
        <v>0</v>
      </c>
      <c r="M11" s="61">
        <f>IF(AND(M8=8,M9=8,AND(IFERROR(INDEX('Job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setup'!I$7:I$11,0)),"")&gt;=M$6)))),0,IF(WEEKDAY(M$6,1)=1,0,IF(WEEKDAY(M$6,1)=7,M8*M9,IF(IF(AND(IFERROR(INDEX('Job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8"),FALSE))))),MAX(0,M9-8)*M8,0))))+((IF(OR(M8&lt;=0,NOT(OR(AND(IFERROR(INDEX('Job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8"),FALSE))))),MIN(8,M9)*M8,M8*M9)))))-MIN(IF(OR(M8&lt;=0,NOT(OR(AND(IFERROR(INDEX('Job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8"),FALSE))))),MIN(8,M9)*M8,M8*M9)))),MAX(0,40*MAX(1,M8)-(K10+L10)))))</f>
        <v>0</v>
      </c>
      <c r="N11" s="61">
        <f>IF(AND(N8=8,N9=8,AND(IFERROR(INDEX('Job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setup'!I$7:I$11,0)),"")&gt;=N$6)))),0,IF(WEEKDAY(N$6,1)=1,0,IF(WEEKDAY(N$6,1)=7,N8*N9,IF(IF(AND(IFERROR(INDEX('Job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8"),FALSE))))),MAX(0,N9-8)*N8,0))))+((IF(OR(N8&lt;=0,NOT(OR(AND(IFERROR(INDEX('Job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8"),FALSE))))),MIN(8,N9)*N8,N8*N9)))))-MIN(IF(OR(N8&lt;=0,NOT(OR(AND(IFERROR(INDEX('Job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8"),FALSE))))),MIN(8,N9)*N8,N8*N9)))),MAX(0,40*MAX(1,N8)-(K10+L10+M10)))))</f>
        <v>0</v>
      </c>
      <c r="O11" s="61">
        <f>IF(AND(O8=8,O9=8,AND(IFERROR(INDEX('Job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setup'!I$7:I$11,0)),"")&gt;=O$6)))),0,IF(WEEKDAY(O$6,1)=1,0,IF(WEEKDAY(O$6,1)=7,O8*O9,IF(IF(AND(IFERROR(INDEX('Job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8"),FALSE))))),MAX(0,O9-8)*O8,0))))+((IF(OR(O8&lt;=0,NOT(OR(AND(IFERROR(INDEX('Job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8"),FALSE))))),MIN(8,O9)*O8,O8*O9)))))-MIN(IF(OR(O8&lt;=0,NOT(OR(AND(IFERROR(INDEX('Job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8"),FALSE))))),MIN(8,O9)*O8,O8*O9)))),MAX(0,40*MAX(1,O8)-(K10+L10+M10+N10)))))</f>
        <v>0</v>
      </c>
      <c r="P11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setup'!I$7:I$11,0)),"")&gt;=P$6)))),0,IF(WEEKDAY(P$6,1)=1,0,IF(WEEKDAY(P$6,1)=7,P8*P9,IF(IF(AND(IFERROR(INDEX('Job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8"),FALSE))))),MAX(0,P9-8)*P8,0))))+((IF(OR(P8&lt;=0,NOT(OR(AND(IFERROR(INDEX('Job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8"),FALSE))))),MIN(8,P9)*P8,P8*P9)))))-MIN(IF(OR(P8&lt;=0,NOT(OR(AND(IFERROR(INDEX('Job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8"),FALSE))))),MIN(8,P9)*P8,P8*P9)))),MAX(0,40*MAX(1,P8)-(0)))))</f>
        <v>0</v>
      </c>
      <c r="Q11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setup'!I$7:I$11,0)),"")&gt;=Q$6)))),0,IF(WEEKDAY(Q$6,1)=1,0,IF(WEEKDAY(Q$6,1)=7,Q8*Q9,IF(IF(AND(IFERROR(INDEX('Job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8"),FALSE))))),MAX(0,Q9-8)*Q8,0))))+((IF(OR(Q8&lt;=0,NOT(OR(AND(IFERROR(INDEX('Job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8"),FALSE))))),MIN(8,Q9)*Q8,Q8*Q9)))))-MIN(IF(OR(Q8&lt;=0,NOT(OR(AND(IFERROR(INDEX('Job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8"),FALSE))))),MIN(8,Q9)*Q8,Q8*Q9)))),MAX(0,40*MAX(1,Q8)-(P10)))))</f>
        <v>0</v>
      </c>
      <c r="R11" s="61">
        <f>IF(AND(R8=8,R9=8,AND(IFERROR(INDEX('Job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setup'!I$7:I$11,0)),"")&gt;=R$6)))),0,IF(WEEKDAY(R$6,1)=1,0,IF(WEEKDAY(R$6,1)=7,R8*R9,IF(IF(AND(IFERROR(INDEX('Job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8"),FALSE))))),MAX(0,R9-8)*R8,0))))+((IF(OR(R8&lt;=0,NOT(OR(AND(IFERROR(INDEX('Job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8"),FALSE))))),MIN(8,R9)*R8,R8*R9)))))-MIN(IF(OR(R8&lt;=0,NOT(OR(AND(IFERROR(INDEX('Job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8"),FALSE))))),MIN(8,R9)*R8,R8*R9)))),MAX(0,40*MAX(1,R8)-(0)))))</f>
        <v>0</v>
      </c>
      <c r="S11" s="61">
        <f>IF(AND(S8=8,S9=8,AND(IFERROR(INDEX('Job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setup'!I$7:I$11,0)),"")&gt;=S$6)))),0,IF(WEEKDAY(S$6,1)=1,0,IF(WEEKDAY(S$6,1)=7,S8*S9,IF(IF(AND(IFERROR(INDEX('Job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8"),FALSE))))),MAX(0,S9-8)*S8,0))))+((IF(OR(S8&lt;=0,NOT(OR(AND(IFERROR(INDEX('Job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8"),FALSE))))),MIN(8,S9)*S8,S8*S9)))))-MIN(IF(OR(S8&lt;=0,NOT(OR(AND(IFERROR(INDEX('Job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8"),FALSE))))),MIN(8,S9)*S8,S8*S9)))),MAX(0,40*MAX(1,S8)-(R10)))))</f>
        <v>0</v>
      </c>
      <c r="T11" s="61">
        <f>IF(AND(T8=8,T9=8,AND(IFERROR(INDEX('Job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setup'!I$7:I$11,0)),"")&gt;=T$6)))),0,IF(WEEKDAY(T$6,1)=1,0,IF(WEEKDAY(T$6,1)=7,T8*T9,IF(IF(AND(IFERROR(INDEX('Job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8"),FALSE))))),MAX(0,T9-8)*T8,0))))+((IF(OR(T8&lt;=0,NOT(OR(AND(IFERROR(INDEX('Job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8"),FALSE))))),MIN(8,T9)*T8,T8*T9)))))-MIN(IF(OR(T8&lt;=0,NOT(OR(AND(IFERROR(INDEX('Job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8"),FALSE))))),MIN(8,T9)*T8,T8*T9)))),MAX(0,40*MAX(1,T8)-(R10+S10)))))</f>
        <v>0</v>
      </c>
      <c r="U11" s="61">
        <f>IF(AND(U8=18,U9=12,AND(IFERROR(INDEX('Job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setup'!I$7:I$11,0)),"")=0))),72,IF(OR(U8&lt;=0,NOT(OR(AND(IFERROR(INDEX('Job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setup'!I$7:I$11,0)),"")&gt;=U$6)))),0,IF(WEEKDAY(U$6,1)=1,0,IF(WEEKDAY(U$6,1)=7,U8*U9,IF(IF(AND(IFERROR(INDEX('Job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8"),FALSE))))),MAX(0,U9-8)*U8,0))))+((IF(OR(U8&lt;=0,NOT(OR(AND(IFERROR(INDEX('Job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8"),FALSE))))),MIN(8,U9)*U8,U8*U9)))))-MIN(IF(OR(U8&lt;=0,NOT(OR(AND(IFERROR(INDEX('Job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8"),FALSE))))),MIN(8,U9)*U8,U8*U9)))),MAX(0,40*MAX(1,U8)-(0)))))</f>
        <v>72</v>
      </c>
      <c r="V11" s="61">
        <f>IF(AND(V8=18,V9=12,AND(IFERROR(INDEX('Job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setup'!I$7:I$11,0)),"")=0))),72,IF(OR(V8&lt;=0,NOT(OR(AND(IFERROR(INDEX('Job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setup'!I$7:I$11,0)),"")&gt;=V$6)))),0,IF(WEEKDAY(V$6,1)=1,0,IF(WEEKDAY(V$6,1)=7,V8*V9,IF(IF(AND(IFERROR(INDEX('Job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8"),FALSE))))),MAX(0,V9-8)*V8,0))))+((IF(OR(V8&lt;=0,NOT(OR(AND(IFERROR(INDEX('Job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8"),FALSE))))),MIN(8,V9)*V8,V8*V9)))))-MIN(IF(OR(V8&lt;=0,NOT(OR(AND(IFERROR(INDEX('Job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8"),FALSE))))),MIN(8,V9)*V8,V8*V9)))),MAX(0,40*MAX(1,V8)-(U10)))))</f>
        <v>72</v>
      </c>
      <c r="W11" s="62">
        <f>IF(AND(W8=18,W9=12,AND(IFERROR(INDEX('Job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setup'!I$7:I$11,0)),"")=0))),216,IF(OR(W8&lt;=0,NOT(OR(AND(IFERROR(INDEX('Job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setup'!I$7:I$11,0)),"")&gt;=W$6)))),0,IF(WEEKDAY(W$6,1)=1,0,IF(WEEKDAY(W$6,1)=7,W8*W9,IF(IF(AND(IFERROR(INDEX('Job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8"),FALSE))))),MAX(0,W9-8)*W8,0))))+((IF(OR(W8&lt;=0,NOT(OR(AND(IFERROR(INDEX('Job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8"),FALSE))))),MIN(8,W9)*W8,W8*W9)))))-MIN(IF(OR(W8&lt;=0,NOT(OR(AND(IFERROR(INDEX('Job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8"),FALSE))))),MIN(8,W9)*W8,W8*W9)))),MAX(0,40*MAX(1,W8)-(U10+V10)))))</f>
        <v>216</v>
      </c>
      <c r="X11" s="62">
        <f>IF(AND(X8=18,X9=12,AND(IFERROR(INDEX('Job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setup'!I$7:I$11,0)),"")&gt;=X$6)))),0,IF(WEEKDAY(X$6,1)=1,0,IF(WEEKDAY(X$6,1)=7,X8*X9,IF(IF(AND(IFERROR(INDEX('Job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8"),FALSE))))),MAX(0,X9-8)*X8,0))))+((IF(OR(X8&lt;=0,NOT(OR(AND(IFERROR(INDEX('Job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8"),FALSE))))),MIN(8,X9)*X8,X8*X9)))))-MIN(IF(OR(X8&lt;=0,NOT(OR(AND(IFERROR(INDEX('Job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8"),FALSE))))),MIN(8,X9)*X8,X8*X9)))),MAX(0,40*MAX(1,X8)-(U10+V10+W10)))))</f>
        <v>0</v>
      </c>
      <c r="Y11" s="61">
        <f>IF(AND(Y8=18,Y9=12,AND(IFERROR(INDEX('Job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setup'!I$7:I$11,0)),"")=0))),72,IF(OR(Y8&lt;=0,NOT(OR(AND(IFERROR(INDEX('Job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setup'!I$7:I$11,0)),"")&gt;=Y$6)))),0,IF(WEEKDAY(Y$6,1)=1,0,IF(WEEKDAY(Y$6,1)=7,Y8*Y9,IF(IF(AND(IFERROR(INDEX('Job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8"),FALSE))))),MAX(0,Y9-8)*Y8,0))))+((IF(OR(Y8&lt;=0,NOT(OR(AND(IFERROR(INDEX('Job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8"),FALSE))))),MIN(8,Y9)*Y8,Y8*Y9)))))-MIN(IF(OR(Y8&lt;=0,NOT(OR(AND(IFERROR(INDEX('Job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8"),FALSE))))),MIN(8,Y9)*Y8,Y8*Y9)))),MAX(0,40*MAX(1,Y8)-(0)))))</f>
        <v>72</v>
      </c>
      <c r="Z11" s="61">
        <f>IF(AND(Z8=18,Z9=12,AND(IFERROR(INDEX('Job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setup'!I$7:I$11,0)),"")=0))),72,IF(OR(Z8&lt;=0,NOT(OR(AND(IFERROR(INDEX('Job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setup'!I$7:I$11,0)),"")&gt;=Z$6)))),0,IF(WEEKDAY(Z$6,1)=1,0,IF(WEEKDAY(Z$6,1)=7,Z8*Z9,IF(IF(AND(IFERROR(INDEX('Job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8"),FALSE))))),MAX(0,Z9-8)*Z8,0))))+((IF(OR(Z8&lt;=0,NOT(OR(AND(IFERROR(INDEX('Job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8"),FALSE))))),MIN(8,Z9)*Z8,Z8*Z9)))))-MIN(IF(OR(Z8&lt;=0,NOT(OR(AND(IFERROR(INDEX('Job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8"),FALSE))))),MIN(8,Z9)*Z8,Z8*Z9)))),MAX(0,40*MAX(1,Z8)-(Y10)))))</f>
        <v>72</v>
      </c>
      <c r="AA11" s="61">
        <f>IF(AND(AA8=18,AA9=12,AND(IFERROR(INDEX('Job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setup'!I$7:I$11,0)),"")=0))),72,IF(OR(AA8&lt;=0,NOT(OR(AND(IFERROR(INDEX('Job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setup'!I$7:I$11,0)),"")&gt;=AA$6)))),0,IF(WEEKDAY(AA$6,1)=1,0,IF(WEEKDAY(AA$6,1)=7,AA8*AA9,IF(IF(AND(IFERROR(INDEX('Job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8"),FALSE))))),MAX(0,AA9-8)*AA8,0))))+((IF(OR(AA8&lt;=0,NOT(OR(AND(IFERROR(INDEX('Job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8"),FALSE))))),MIN(8,AA9)*AA8,AA8*AA9)))))-MIN(IF(OR(AA8&lt;=0,NOT(OR(AND(IFERROR(INDEX('Job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8"),FALSE))))),MIN(8,AA9)*AA8,AA8*AA9)))),MAX(0,40*MAX(1,AA8)-(Y10+Z10)))))</f>
        <v>72</v>
      </c>
      <c r="AB11" s="61">
        <f>IF(AND(AB8=18,AB9=12,AND(IFERROR(INDEX('Job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setup'!I$7:I$11,0)),"")=0))),72,IF(OR(AB8&lt;=0,NOT(OR(AND(IFERROR(INDEX('Job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setup'!I$7:I$11,0)),"")&gt;=AB$6)))),0,IF(WEEKDAY(AB$6,1)=1,0,IF(WEEKDAY(AB$6,1)=7,AB8*AB9,IF(IF(AND(IFERROR(INDEX('Job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8"),FALSE))))),MAX(0,AB9-8)*AB8,0))))+((IF(OR(AB8&lt;=0,NOT(OR(AND(IFERROR(INDEX('Job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8"),FALSE))))),MIN(8,AB9)*AB8,AB8*AB9)))))-MIN(IF(OR(AB8&lt;=0,NOT(OR(AND(IFERROR(INDEX('Job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8"),FALSE))))),MIN(8,AB9)*AB8,AB8*AB9)))),MAX(0,40*MAX(1,AB8)-(Y10+Z10+AA10)))))</f>
        <v>72</v>
      </c>
      <c r="AC11" s="61">
        <f>IF(AND(AC8=18,AC9=12,AND(IFERROR(INDEX('Job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setup'!I$7:I$11,0)),"")=0))),72,IF(OR(AC8&lt;=0,NOT(OR(AND(IFERROR(INDEX('Job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setup'!I$7:I$11,0)),"")&gt;=AC$6)))),0,IF(WEEKDAY(AC$6,1)=1,0,IF(WEEKDAY(AC$6,1)=7,AC8*AC9,IF(IF(AND(IFERROR(INDEX('Job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8"),FALSE))))),MAX(0,AC9-8)*AC8,0))))+((IF(OR(AC8&lt;=0,NOT(OR(AND(IFERROR(INDEX('Job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8"),FALSE))))),MIN(8,AC9)*AC8,AC8*AC9)))))-MIN(IF(OR(AC8&lt;=0,NOT(OR(AND(IFERROR(INDEX('Job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8"),FALSE))))),MIN(8,AC9)*AC8,AC8*AC9)))),MAX(0,40*MAX(1,AC8)-(Y10+Z10+AA10+AB10)))))</f>
        <v>72</v>
      </c>
      <c r="AD11" s="62">
        <f>IF(AND(AD8=18,AD9=12,AND(IFERROR(INDEX('Job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setup'!I$7:I$11,0)),"")=0))),216,IF(OR(AD8&lt;=0,NOT(OR(AND(IFERROR(INDEX('Job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setup'!I$7:I$11,0)),"")&gt;=AD$6)))),0,IF(WEEKDAY(AD$6,1)=1,0,IF(WEEKDAY(AD$6,1)=7,AD8*AD9,IF(IF(AND(IFERROR(INDEX('Job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8"),FALSE))))),MAX(0,AD9-8)*AD8,0))))+((IF(OR(AD8&lt;=0,NOT(OR(AND(IFERROR(INDEX('Job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8"),FALSE))))),MIN(8,AD9)*AD8,AD8*AD9)))))-MIN(IF(OR(AD8&lt;=0,NOT(OR(AND(IFERROR(INDEX('Job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8"),FALSE))))),MIN(8,AD9)*AD8,AD8*AD9)))),MAX(0,40*MAX(1,AD8)-(Y10+Z10+AA10+AB10+AC10)))))</f>
        <v>216</v>
      </c>
      <c r="AE11" s="62">
        <f>IF(AND(AE8=18,AE9=12,AND(IFERROR(INDEX('Job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setup'!I$7:I$11,0)),"")&gt;=AE$6)))),0,IF(WEEKDAY(AE$6,1)=1,0,IF(WEEKDAY(AE$6,1)=7,AE8*AE9,IF(IF(AND(IFERROR(INDEX('Job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8"),FALSE))))),MAX(0,AE9-8)*AE8,0))))+((IF(OR(AE8&lt;=0,NOT(OR(AND(IFERROR(INDEX('Job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8"),FALSE))))),MIN(8,AE9)*AE8,AE8*AE9)))))-MIN(IF(OR(AE8&lt;=0,NOT(OR(AND(IFERROR(INDEX('Job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8"),FALSE))))),MIN(8,AE9)*AE8,AE8*AE9)))),MAX(0,40*MAX(1,AE8)-(Y10+Z10+AA10+AB10+AC10+AD10)))))</f>
        <v>0</v>
      </c>
      <c r="AF11" s="61">
        <f>IF(AND(AF8=18,AF9=12,AND(IFERROR(INDEX('Job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setup'!I$7:I$11,0)),"")=0))),72,IF(OR(AF8&lt;=0,NOT(OR(AND(IFERROR(INDEX('Job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setup'!I$7:I$11,0)),"")&gt;=AF$6)))),0,IF(WEEKDAY(AF$6,1)=1,0,IF(WEEKDAY(AF$6,1)=7,AF8*AF9,IF(IF(AND(IFERROR(INDEX('Job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8"),FALSE))))),MAX(0,AF9-8)*AF8,0))))+((IF(OR(AF8&lt;=0,NOT(OR(AND(IFERROR(INDEX('Job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8"),FALSE))))),MIN(8,AF9)*AF8,AF8*AF9)))))-MIN(IF(OR(AF8&lt;=0,NOT(OR(AND(IFERROR(INDEX('Job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8"),FALSE))))),MIN(8,AF9)*AF8,AF8*AF9)))),MAX(0,40*MAX(1,AF8)-(0)))))</f>
        <v>72</v>
      </c>
      <c r="AG11" s="61">
        <f>IF(AND(AG8=18,AG9=12,AND(IFERROR(INDEX('Job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setup'!I$7:I$11,0)),"")=0))),72,IF(OR(AG8&lt;=0,NOT(OR(AND(IFERROR(INDEX('Job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setup'!I$7:I$11,0)),"")&gt;=AG$6)))),0,IF(WEEKDAY(AG$6,1)=1,0,IF(WEEKDAY(AG$6,1)=7,AG8*AG9,IF(IF(AND(IFERROR(INDEX('Job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8"),FALSE))))),MAX(0,AG9-8)*AG8,0))))+((IF(OR(AG8&lt;=0,NOT(OR(AND(IFERROR(INDEX('Job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8"),FALSE))))),MIN(8,AG9)*AG8,AG8*AG9)))))-MIN(IF(OR(AG8&lt;=0,NOT(OR(AND(IFERROR(INDEX('Job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8"),FALSE))))),MIN(8,AG9)*AG8,AG8*AG9)))),MAX(0,40*MAX(1,AG8)-(AF10)))))</f>
        <v>72</v>
      </c>
      <c r="AH11" s="61">
        <f>IF(AND(AH8=18,AH9=12,AND(IFERROR(INDEX('Job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setup'!I$7:I$11,0)),"")=0))),72,IF(OR(AH8&lt;=0,NOT(OR(AND(IFERROR(INDEX('Job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setup'!I$7:I$11,0)),"")&gt;=AH$6)))),0,IF(WEEKDAY(AH$6,1)=1,0,IF(WEEKDAY(AH$6,1)=7,AH8*AH9,IF(IF(AND(IFERROR(INDEX('Job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8"),FALSE))))),MAX(0,AH9-8)*AH8,0))))+((IF(OR(AH8&lt;=0,NOT(OR(AND(IFERROR(INDEX('Job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8"),FALSE))))),MIN(8,AH9)*AH8,AH8*AH9)))))-MIN(IF(OR(AH8&lt;=0,NOT(OR(AND(IFERROR(INDEX('Job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8"),FALSE))))),MIN(8,AH9)*AH8,AH8*AH9)))),MAX(0,40*MAX(1,AH8)-(AF10+AG10)))))</f>
        <v>72</v>
      </c>
      <c r="AI11" s="61">
        <f>IF(AND(AI8=8,AI9=8,AND(IFERROR(INDEX('Job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setup'!I$7:I$11,0)),"")&gt;=AI$6)))),0,IF(WEEKDAY(AI$6,1)=1,0,IF(WEEKDAY(AI$6,1)=7,AI8*AI9,IF(IF(AND(IFERROR(INDEX('Job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8"),FALSE))))),MAX(0,AI9-8)*AI8,0))))+((IF(OR(AI8&lt;=0,NOT(OR(AND(IFERROR(INDEX('Job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8"),FALSE))))),MIN(8,AI9)*AI8,AI8*AI9)))))-MIN(IF(OR(AI8&lt;=0,NOT(OR(AND(IFERROR(INDEX('Job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8"),FALSE))))),MIN(8,AI9)*AI8,AI8*AI9)))),MAX(0,40*MAX(1,AI8)-(0)))))</f>
        <v>0</v>
      </c>
      <c r="AJ11" s="61">
        <f>IF(AND(AJ8=8,AJ9=8,AND(IFERROR(INDEX('Job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setup'!I$7:I$11,0)),"")&gt;=AJ$6)))),0,IF(WEEKDAY(AJ$6,1)=1,0,IF(WEEKDAY(AJ$6,1)=7,AJ8*AJ9,IF(IF(AND(IFERROR(INDEX('Job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8"),FALSE))))),MAX(0,AJ9-8)*AJ8,0))))+((IF(OR(AJ8&lt;=0,NOT(OR(AND(IFERROR(INDEX('Job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8"),FALSE))))),MIN(8,AJ9)*AJ8,AJ8*AJ9)))))-MIN(IF(OR(AJ8&lt;=0,NOT(OR(AND(IFERROR(INDEX('Job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8"),FALSE))))),MIN(8,AJ9)*AJ8,AJ8*AJ9)))),MAX(0,40*MAX(1,AJ8)-(AI10)))))</f>
        <v>0</v>
      </c>
      <c r="AK11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setup'!I$7:I$11,0)),"")&gt;=AK$6)))),0,IF(WEEKDAY(AK$6,1)=1,0,IF(WEEKDAY(AK$6,1)=7,AK8*AK9,IF(IF(AND(IFERROR(INDEX('Job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8"),FALSE))))),MAX(0,AK9-8)*AK8,0))))+((IF(OR(AK8&lt;=0,NOT(OR(AND(IFERROR(INDEX('Job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8"),FALSE))))),MIN(8,AK9)*AK8,AK8*AK9)))))-MIN(IF(OR(AK8&lt;=0,NOT(OR(AND(IFERROR(INDEX('Job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8"),FALSE))))),MIN(8,AK9)*AK8,AK8*AK9)))),MAX(0,40*MAX(1,AK8)-(0)))))</f>
        <v>0</v>
      </c>
      <c r="AL11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setup'!I$7:I$11,0)),"")&gt;=AL$6)))),0,IF(WEEKDAY(AL$6,1)=1,0,IF(WEEKDAY(AL$6,1)=7,AL8*AL9,IF(IF(AND(IFERROR(INDEX('Job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8"),FALSE))))),MAX(0,AL9-8)*AL8,0))))+((IF(OR(AL8&lt;=0,NOT(OR(AND(IFERROR(INDEX('Job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8"),FALSE))))),MIN(8,AL9)*AL8,AL8*AL9)))))-MIN(IF(OR(AL8&lt;=0,NOT(OR(AND(IFERROR(INDEX('Job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8"),FALSE))))),MIN(8,AL9)*AL8,AL8*AL9)))),MAX(0,40*MAX(1,AL8)-(AK10)))))</f>
        <v>0</v>
      </c>
      <c r="AM11" s="61">
        <f>IF(AND(AM8=8,AM9=8,AND(IFERROR(INDEX('Job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setup'!I$7:I$11,0)),"")&gt;=AM$6)))),0,IF(WEEKDAY(AM$6,1)=1,0,IF(WEEKDAY(AM$6,1)=7,AM8*AM9,IF(IF(AND(IFERROR(INDEX('Job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8"),FALSE))))),MAX(0,AM9-8)*AM8,0))))+((IF(OR(AM8&lt;=0,NOT(OR(AND(IFERROR(INDEX('Job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8"),FALSE))))),MIN(8,AM9)*AM8,AM8*AM9)))))-MIN(IF(OR(AM8&lt;=0,NOT(OR(AND(IFERROR(INDEX('Job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8"),FALSE))))),MIN(8,AM9)*AM8,AM8*AM9)))),MAX(0,40*MAX(1,AM8)-(0)))))</f>
        <v>0</v>
      </c>
      <c r="AN11" s="61">
        <f>IF(AND(AN8=8,AN9=8,AND(IFERROR(INDEX('Job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setup'!I$7:I$11,0)),"")&gt;=AN$6)))),0,IF(WEEKDAY(AN$6,1)=1,0,IF(WEEKDAY(AN$6,1)=7,AN8*AN9,IF(IF(AND(IFERROR(INDEX('Job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8"),FALSE))))),MAX(0,AN9-8)*AN8,0))))+((IF(OR(AN8&lt;=0,NOT(OR(AND(IFERROR(INDEX('Job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8"),FALSE))))),MIN(8,AN9)*AN8,AN8*AN9)))))-MIN(IF(OR(AN8&lt;=0,NOT(OR(AND(IFERROR(INDEX('Job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8"),FALSE))))),MIN(8,AN9)*AN8,AN8*AN9)))),MAX(0,40*MAX(1,AN8)-(AM10)))))</f>
        <v>0</v>
      </c>
      <c r="AO11" s="61">
        <f>IF(AND(AO8=8,AO9=8,AND(IFERROR(INDEX('Job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setup'!I$7:I$11,0)),"")&gt;=AO$6)))),0,IF(WEEKDAY(AO$6,1)=1,0,IF(WEEKDAY(AO$6,1)=7,AO8*AO9,IF(IF(AND(IFERROR(INDEX('Job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8"),FALSE))))),MAX(0,AO9-8)*AO8,0))))+((IF(OR(AO8&lt;=0,NOT(OR(AND(IFERROR(INDEX('Job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8"),FALSE))))),MIN(8,AO9)*AO8,AO8*AO9)))))-MIN(IF(OR(AO8&lt;=0,NOT(OR(AND(IFERROR(INDEX('Job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8"),FALSE))))),MIN(8,AO9)*AO8,AO8*AO9)))),MAX(0,40*MAX(1,AO8)-(AM10+AN10)))))</f>
        <v>0</v>
      </c>
      <c r="AP11" s="63">
        <f>IF(AND(AP8=8,AP9=8,AND(IFERROR(INDEX('Job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setup'!I$7:I$11,0)),"")&gt;=AP$6)))),0,IF(WEEKDAY(AP$6,1)=1,0,IF(WEEKDAY(AP$6,1)=7,AP8*AP9,IF(IF(AND(IFERROR(INDEX('Job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8"),FALSE))))),MAX(0,AP9-8)*AP8,0))))+((IF(OR(AP8&lt;=0,NOT(OR(AND(IFERROR(INDEX('Job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8"),FALSE))))),MIN(8,AP9)*AP8,AP8*AP9)))))-MIN(IF(OR(AP8&lt;=0,NOT(OR(AND(IFERROR(INDEX('Job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8"),FALSE))))),MIN(8,AP9)*AP8,AP8*AP9)))),MAX(0,40*MAX(1,AP8)-(AM10+AN10+AO10)))))</f>
        <v>0</v>
      </c>
      <c r="OU11" s="28" t="s">
        <v>82</v>
      </c>
    </row>
    <row r="12" ht="16" customHeight="1" spans="1:411" x14ac:dyDescent="0.25">
      <c r="A12" s="43"/>
      <c r="B12" s="44"/>
      <c r="C12" s="59">
        <f>H7*N(D12)</f>
        <v>76917.6</v>
      </c>
      <c r="D12" s="59">
        <f>IF(TRIM(B7)="","No rate",IFERROR(INDEX('Rate Tables'!E$7:E$161,MATCH(B7,'Rate Tables'!A$7:A$161,0)),"No rate"))</f>
        <v>178.05</v>
      </c>
      <c r="E12" s="53" t="s">
        <v>64</v>
      </c>
      <c r="F12" s="47"/>
      <c r="G12" s="47"/>
      <c r="H12" s="47"/>
      <c r="I12" s="47"/>
      <c r="J12" s="48"/>
      <c r="K12" s="60">
        <f>IF(AND(K8=8,K9=8,AND(IFERROR(INDEX('Job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setup'!I$7:I$11,0)),"")&gt;=K$6)))),0,IF(WEEKDAY(K$6,1)=1,K8*K9,0)))</f>
        <v>0</v>
      </c>
      <c r="L12" s="61">
        <f>IF(AND(L8=8,L9=8,AND(IFERROR(INDEX('Job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setup'!I$7:I$11,0)),"")&gt;=L$6)))),0,IF(WEEKDAY(L$6,1)=1,L8*L9,0)))</f>
        <v>0</v>
      </c>
      <c r="M12" s="61">
        <f>IF(AND(M8=8,M9=8,AND(IFERROR(INDEX('Job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setup'!I$7:I$11,0)),"")&gt;=M$6)))),0,IF(WEEKDAY(M$6,1)=1,M8*M9,0)))</f>
        <v>0</v>
      </c>
      <c r="N12" s="61">
        <f>IF(AND(N8=8,N9=8,AND(IFERROR(INDEX('Job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setup'!I$7:I$11,0)),"")&gt;=N$6)))),0,IF(WEEKDAY(N$6,1)=1,N8*N9,0)))</f>
        <v>0</v>
      </c>
      <c r="O12" s="61">
        <f>IF(AND(O8=8,O9=8,AND(IFERROR(INDEX('Job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setup'!I$7:I$11,0)),"")&gt;=O$6)))),0,IF(WEEKDAY(O$6,1)=1,O8*O9,0)))</f>
        <v>0</v>
      </c>
      <c r="P12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setup'!I$7:I$11,0)),"")&gt;=P$6)))),0,IF(WEEKDAY(P$6,1)=1,P8*P9,0)))</f>
        <v>0</v>
      </c>
      <c r="Q12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setup'!I$7:I$11,0)),"")&gt;=Q$6)))),0,IF(WEEKDAY(Q$6,1)=1,Q8*Q9,0)))</f>
        <v>0</v>
      </c>
      <c r="R12" s="61">
        <f>IF(AND(R8=8,R9=8,AND(IFERROR(INDEX('Job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setup'!I$7:I$11,0)),"")&gt;=R$6)))),0,IF(WEEKDAY(R$6,1)=1,R8*R9,0)))</f>
        <v>0</v>
      </c>
      <c r="S12" s="61">
        <f>IF(AND(S8=8,S9=8,AND(IFERROR(INDEX('Job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setup'!I$7:I$11,0)),"")&gt;=S$6)))),0,IF(WEEKDAY(S$6,1)=1,S8*S9,0)))</f>
        <v>0</v>
      </c>
      <c r="T12" s="61">
        <f>IF(AND(T8=8,T9=8,AND(IFERROR(INDEX('Job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setup'!I$7:I$11,0)),"")&gt;=T$6)))),0,IF(WEEKDAY(T$6,1)=1,T8*T9,0)))</f>
        <v>0</v>
      </c>
      <c r="U12" s="61">
        <f>IF(AND(U8=18,U9=12,AND(IFERROR(INDEX('Job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setup'!I$7:I$11,0)),"")&gt;=U$6)))),0,IF(WEEKDAY(U$6,1)=1,U8*U9,0)))</f>
        <v>0</v>
      </c>
      <c r="V12" s="61">
        <f>IF(AND(V8=18,V9=12,AND(IFERROR(INDEX('Job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setup'!I$7:I$11,0)),"")&gt;=V$6)))),0,IF(WEEKDAY(V$6,1)=1,V8*V9,0)))</f>
        <v>0</v>
      </c>
      <c r="W12" s="62">
        <f>IF(AND(W8=18,W9=12,AND(IFERROR(INDEX('Job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setup'!I$7:I$11,0)),"")&gt;=W$6)))),0,IF(WEEKDAY(W$6,1)=1,W8*W9,0)))</f>
        <v>0</v>
      </c>
      <c r="X12" s="62">
        <f>IF(AND(X8=18,X9=12,AND(IFERROR(INDEX('Job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setup'!I$7:I$11,0)),"")=0))),216,IF(OR(X8&lt;=0,NOT(OR(AND(IFERROR(INDEX('Job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setup'!I$7:I$11,0)),"")&gt;=X$6)))),0,IF(WEEKDAY(X$6,1)=1,X8*X9,0)))</f>
        <v>216</v>
      </c>
      <c r="Y12" s="61">
        <f>IF(AND(Y8=18,Y9=12,AND(IFERROR(INDEX('Job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setup'!I$7:I$11,0)),"")&gt;=Y$6)))),0,IF(WEEKDAY(Y$6,1)=1,Y8*Y9,0)))</f>
        <v>0</v>
      </c>
      <c r="Z12" s="61">
        <f>IF(AND(Z8=18,Z9=12,AND(IFERROR(INDEX('Job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setup'!I$7:I$11,0)),"")&gt;=Z$6)))),0,IF(WEEKDAY(Z$6,1)=1,Z8*Z9,0)))</f>
        <v>0</v>
      </c>
      <c r="AA12" s="61">
        <f>IF(AND(AA8=18,AA9=12,AND(IFERROR(INDEX('Job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setup'!I$7:I$11,0)),"")&gt;=AA$6)))),0,IF(WEEKDAY(AA$6,1)=1,AA8*AA9,0)))</f>
        <v>0</v>
      </c>
      <c r="AB12" s="61">
        <f>IF(AND(AB8=18,AB9=12,AND(IFERROR(INDEX('Job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setup'!I$7:I$11,0)),"")&gt;=AB$6)))),0,IF(WEEKDAY(AB$6,1)=1,AB8*AB9,0)))</f>
        <v>0</v>
      </c>
      <c r="AC12" s="61">
        <f>IF(AND(AC8=18,AC9=12,AND(IFERROR(INDEX('Job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setup'!I$7:I$11,0)),"")&gt;=AC$6)))),0,IF(WEEKDAY(AC$6,1)=1,AC8*AC9,0)))</f>
        <v>0</v>
      </c>
      <c r="AD12" s="62">
        <f>IF(AND(AD8=18,AD9=12,AND(IFERROR(INDEX('Job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setup'!I$7:I$11,0)),"")&gt;=AD$6)))),0,IF(WEEKDAY(AD$6,1)=1,AD8*AD9,0)))</f>
        <v>0</v>
      </c>
      <c r="AE12" s="62">
        <f>IF(AND(AE8=18,AE9=12,AND(IFERROR(INDEX('Job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setup'!I$7:I$11,0)),"")=0))),216,IF(OR(AE8&lt;=0,NOT(OR(AND(IFERROR(INDEX('Job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setup'!I$7:I$11,0)),"")&gt;=AE$6)))),0,IF(WEEKDAY(AE$6,1)=1,AE8*AE9,0)))</f>
        <v>216</v>
      </c>
      <c r="AF12" s="61">
        <f>IF(AND(AF8=18,AF9=12,AND(IFERROR(INDEX('Job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setup'!I$7:I$11,0)),"")&gt;=AF$6)))),0,IF(WEEKDAY(AF$6,1)=1,AF8*AF9,0)))</f>
        <v>0</v>
      </c>
      <c r="AG12" s="61">
        <f>IF(AND(AG8=18,AG9=12,AND(IFERROR(INDEX('Job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setup'!I$7:I$11,0)),"")&gt;=AG$6)))),0,IF(WEEKDAY(AG$6,1)=1,AG8*AG9,0)))</f>
        <v>0</v>
      </c>
      <c r="AH12" s="61">
        <f>IF(AND(AH8=18,AH9=12,AND(IFERROR(INDEX('Job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setup'!I$7:I$11,0)),"")&gt;=AH$6)))),0,IF(WEEKDAY(AH$6,1)=1,AH8*AH9,0)))</f>
        <v>0</v>
      </c>
      <c r="AI12" s="61">
        <f>IF(AND(AI8=8,AI9=8,AND(IFERROR(INDEX('Job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setup'!I$7:I$11,0)),"")&gt;=AI$6)))),0,IF(WEEKDAY(AI$6,1)=1,AI8*AI9,0)))</f>
        <v>0</v>
      </c>
      <c r="AJ12" s="61">
        <f>IF(AND(AJ8=8,AJ9=8,AND(IFERROR(INDEX('Job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setup'!I$7:I$11,0)),"")&gt;=AJ$6)))),0,IF(WEEKDAY(AJ$6,1)=1,AJ8*AJ9,0)))</f>
        <v>0</v>
      </c>
      <c r="AK12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setup'!I$7:I$11,0)),"")&gt;=AK$6)))),0,IF(WEEKDAY(AK$6,1)=1,AK8*AK9,0)))</f>
        <v>0</v>
      </c>
      <c r="AL12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setup'!I$7:I$11,0)),"")&gt;=AL$6)))),0,IF(WEEKDAY(AL$6,1)=1,AL8*AL9,0)))</f>
        <v>0</v>
      </c>
      <c r="AM12" s="61">
        <f>IF(AND(AM8=8,AM9=8,AND(IFERROR(INDEX('Job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setup'!I$7:I$11,0)),"")&gt;=AM$6)))),0,IF(WEEKDAY(AM$6,1)=1,AM8*AM9,0)))</f>
        <v>0</v>
      </c>
      <c r="AN12" s="61">
        <f>IF(AND(AN8=8,AN9=8,AND(IFERROR(INDEX('Job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setup'!I$7:I$11,0)),"")&gt;=AN$6)))),0,IF(WEEKDAY(AN$6,1)=1,AN8*AN9,0)))</f>
        <v>0</v>
      </c>
      <c r="AO12" s="61">
        <f>IF(AND(AO8=8,AO9=8,AND(IFERROR(INDEX('Job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setup'!I$7:I$11,0)),"")&gt;=AO$6)))),0,IF(WEEKDAY(AO$6,1)=1,AO8*AO9,0)))</f>
        <v>0</v>
      </c>
      <c r="AP12" s="63">
        <f>IF(AND(AP8=8,AP9=8,AND(IFERROR(INDEX('Job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setup'!I$7:I$11,0)),"")&gt;=AP$6)))),0,IF(WEEKDAY(AP$6,1)=1,AP8*AP9,0)))</f>
        <v>0</v>
      </c>
      <c r="OU12" s="28" t="s">
        <v>82</v>
      </c>
    </row>
    <row r="13" ht="16" customHeight="1" spans="1:411" x14ac:dyDescent="0.25">
      <c r="A13" s="43"/>
      <c r="B13" s="44"/>
      <c r="C13" s="65">
        <f>I7*D13</f>
        <v>27300</v>
      </c>
      <c r="D13" s="65">
        <v>130</v>
      </c>
      <c r="E13" s="66" t="s">
        <v>65</v>
      </c>
      <c r="F13" s="47"/>
      <c r="G13" s="47"/>
      <c r="H13" s="47"/>
      <c r="I13" s="47"/>
      <c r="J13" s="48"/>
      <c r="K13" s="67">
        <v>5</v>
      </c>
      <c r="L13" s="68">
        <v>5</v>
      </c>
      <c r="M13" s="68">
        <v>5</v>
      </c>
      <c r="N13" s="68">
        <v>5</v>
      </c>
      <c r="O13" s="68">
        <v>5</v>
      </c>
      <c r="P13" s="69">
        <v>0</v>
      </c>
      <c r="Q13" s="69">
        <v>0</v>
      </c>
      <c r="R13" s="68">
        <v>5</v>
      </c>
      <c r="S13" s="68">
        <v>5</v>
      </c>
      <c r="T13" s="68">
        <v>5</v>
      </c>
      <c r="U13" s="68">
        <v>10</v>
      </c>
      <c r="V13" s="68">
        <v>10</v>
      </c>
      <c r="W13" s="69">
        <v>10</v>
      </c>
      <c r="X13" s="69">
        <v>10</v>
      </c>
      <c r="Y13" s="68">
        <v>10</v>
      </c>
      <c r="Z13" s="68">
        <v>10</v>
      </c>
      <c r="AA13" s="68">
        <v>10</v>
      </c>
      <c r="AB13" s="68">
        <v>10</v>
      </c>
      <c r="AC13" s="68">
        <v>10</v>
      </c>
      <c r="AD13" s="69">
        <v>10</v>
      </c>
      <c r="AE13" s="69">
        <v>10</v>
      </c>
      <c r="AF13" s="68">
        <v>10</v>
      </c>
      <c r="AG13" s="68">
        <v>10</v>
      </c>
      <c r="AH13" s="68">
        <v>10</v>
      </c>
      <c r="AI13" s="68">
        <v>5</v>
      </c>
      <c r="AJ13" s="68">
        <v>5</v>
      </c>
      <c r="AK13" s="69">
        <v>0</v>
      </c>
      <c r="AL13" s="69">
        <v>0</v>
      </c>
      <c r="AM13" s="68">
        <v>5</v>
      </c>
      <c r="AN13" s="68">
        <v>5</v>
      </c>
      <c r="AO13" s="68">
        <v>5</v>
      </c>
      <c r="AP13" s="70">
        <v>5</v>
      </c>
      <c r="OU13" s="58" t="s">
        <v>82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66</v>
      </c>
      <c r="B15" s="44" t="s">
        <v>81</v>
      </c>
      <c r="C15" s="45">
        <f>J15</f>
        <v>337532.16</v>
      </c>
      <c r="D15" s="46"/>
      <c r="E15" s="46"/>
      <c r="F15" s="47">
        <f>SUM(K18:AP18)</f>
        <v>1280</v>
      </c>
      <c r="G15" s="47">
        <f>SUM(K19:AP19)</f>
        <v>1024</v>
      </c>
      <c r="H15" s="47">
        <f>SUM(K20:AP20)</f>
        <v>384</v>
      </c>
      <c r="I15" s="47">
        <f>SUM(K21:AP21)</f>
        <v>14</v>
      </c>
      <c r="J15" s="48">
        <f>C18+C19+C20</f>
        <v>337532.16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83</v>
      </c>
    </row>
    <row r="16" ht="16" customHeight="1" spans="1:411" x14ac:dyDescent="0.25">
      <c r="A16" s="72"/>
      <c r="B16" s="44"/>
      <c r="C16" s="45"/>
      <c r="D16" s="46"/>
      <c r="E16" s="53" t="s">
        <v>60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16</v>
      </c>
      <c r="V16" s="55">
        <v>16</v>
      </c>
      <c r="W16" s="56">
        <v>16</v>
      </c>
      <c r="X16" s="56">
        <v>16</v>
      </c>
      <c r="Y16" s="55">
        <v>16</v>
      </c>
      <c r="Z16" s="55">
        <v>16</v>
      </c>
      <c r="AA16" s="55">
        <v>16</v>
      </c>
      <c r="AB16" s="55">
        <v>16</v>
      </c>
      <c r="AC16" s="55">
        <v>16</v>
      </c>
      <c r="AD16" s="56">
        <v>16</v>
      </c>
      <c r="AE16" s="56">
        <v>16</v>
      </c>
      <c r="AF16" s="55">
        <v>16</v>
      </c>
      <c r="AG16" s="55">
        <v>16</v>
      </c>
      <c r="AH16" s="55">
        <v>16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83</v>
      </c>
    </row>
    <row r="17" ht="16" customHeight="1" spans="1:411" x14ac:dyDescent="0.25">
      <c r="A17" s="72"/>
      <c r="B17" s="44"/>
      <c r="C17" s="45"/>
      <c r="D17" s="46"/>
      <c r="E17" s="53" t="s">
        <v>61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83</v>
      </c>
    </row>
    <row r="18" ht="16" customHeight="1" spans="1:411" x14ac:dyDescent="0.25">
      <c r="A18" s="72"/>
      <c r="B18" s="44"/>
      <c r="C18" s="59">
        <f>F15*N(D18)</f>
        <v>127142.4</v>
      </c>
      <c r="D18" s="59">
        <f>IF(TRIM(B15)="","No rate",IFERROR(INDEX('Rate Tables'!C$7:C$161,MATCH(B15,'Rate Tables'!A$7:A$161,0)),"No rate"))</f>
        <v>99.33</v>
      </c>
      <c r="E18" s="53" t="s">
        <v>62</v>
      </c>
      <c r="F18" s="47"/>
      <c r="G18" s="47"/>
      <c r="H18" s="47"/>
      <c r="I18" s="47"/>
      <c r="J18" s="48"/>
      <c r="K18" s="60">
        <f>IF(AND(K16=0,K17=0,AND(IFERROR(INDEX('Job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8"),FALSE))))),MIN(8,K17)*K16,K16*K17)))),MAX(0,40*MAX(1,K16)-(0))))</f>
        <v>0</v>
      </c>
      <c r="L18" s="61">
        <f>IF(AND(L16=0,L17=0,AND(IFERROR(INDEX('Job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8"),FALSE))))),MIN(8,L17)*L16,L16*L17)))),MAX(0,40*MAX(1,L16)-(K18))))</f>
        <v>0</v>
      </c>
      <c r="M18" s="61">
        <f>IF(AND(M16=0,M17=0,AND(IFERROR(INDEX('Job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8"),FALSE))))),MIN(8,M17)*M16,M16*M17)))),MAX(0,40*MAX(1,M16)-(K18+L18))))</f>
        <v>0</v>
      </c>
      <c r="N18" s="61">
        <f>IF(AND(N16=0,N17=0,AND(IFERROR(INDEX('Job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8"),FALSE))))),MIN(8,N17)*N16,N16*N17)))),MAX(0,40*MAX(1,N16)-(K18+L18+M18))))</f>
        <v>0</v>
      </c>
      <c r="O18" s="61">
        <f>IF(AND(O16=0,O17=0,AND(IFERROR(INDEX('Job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8"),FALSE))))),MIN(8,O17)*O16,O16*O17)))),MAX(0,40*MAX(1,O16)-(K18+L18+M18+N18))))</f>
        <v>0</v>
      </c>
      <c r="P18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8"),FALSE))))),MIN(8,P17)*P16,P16*P17)))),MAX(0,40*MAX(1,P16)-(K18+L18+M18+N18+O18))))</f>
        <v>0</v>
      </c>
      <c r="Q18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8"),FALSE))))),MIN(8,Q17)*Q16,Q16*Q17)))),MAX(0,40*MAX(1,Q16)-(K18+L18+M18+N18+O18+P18))))</f>
        <v>0</v>
      </c>
      <c r="R18" s="61">
        <f>IF(AND(R16=0,R17=0,AND(IFERROR(INDEX('Job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8"),FALSE))))),MIN(8,R17)*R16,R16*R17)))),MAX(0,40*MAX(1,R16)-(0))))</f>
        <v>0</v>
      </c>
      <c r="S18" s="61">
        <f>IF(AND(S16=0,S17=0,AND(IFERROR(INDEX('Job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8"),FALSE))))),MIN(8,S17)*S16,S16*S17)))),MAX(0,40*MAX(1,S16)-(R18))))</f>
        <v>0</v>
      </c>
      <c r="T18" s="61">
        <f>IF(AND(T16=0,T17=0,AND(IFERROR(INDEX('Job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8"),FALSE))))),MIN(8,T17)*T16,T16*T17)))),MAX(0,40*MAX(1,T16)-(R18+S18))))</f>
        <v>0</v>
      </c>
      <c r="U18" s="61">
        <f>IF(AND(U16=16,U17=12,AND(IFERROR(INDEX('Job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setup'!I$7:I$11,0)),"")=0))),128,MIN(IF(OR(U16&lt;=0,NOT(OR(AND(IFERROR(INDEX('Job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8"),FALSE))))),MIN(8,U17)*U16,U16*U17)))),MAX(0,40*MAX(1,U16)-(0))))</f>
        <v>128</v>
      </c>
      <c r="V18" s="61">
        <f>IF(AND(V16=16,V17=12,AND(IFERROR(INDEX('Job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setup'!I$7:I$11,0)),"")=0))),128,MIN(IF(OR(V16&lt;=0,NOT(OR(AND(IFERROR(INDEX('Job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8"),FALSE))))),MIN(8,V17)*V16,V16*V17)))),MAX(0,40*MAX(1,V16)-(U18))))</f>
        <v>128</v>
      </c>
      <c r="W18" s="62">
        <f>IF(AND(W16=16,W17=12,AND(IFERROR(INDEX('Job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8"),FALSE))))),MIN(8,W17)*W16,W16*W17)))),MAX(0,40*MAX(1,W16)-(U18+V18))))</f>
        <v>0</v>
      </c>
      <c r="X18" s="62">
        <f>IF(AND(X16=16,X17=12,AND(IFERROR(INDEX('Job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8"),FALSE))))),MIN(8,X17)*X16,X16*X17)))),MAX(0,40*MAX(1,X16)-(U18+V18+W18))))</f>
        <v>0</v>
      </c>
      <c r="Y18" s="61">
        <f>IF(AND(Y16=16,Y17=12,AND(IFERROR(INDEX('Job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setup'!I$7:I$11,0)),"")=0))),128,MIN(IF(OR(Y16&lt;=0,NOT(OR(AND(IFERROR(INDEX('Job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8"),FALSE))))),MIN(8,Y17)*Y16,Y16*Y17)))),MAX(0,40*MAX(1,Y16)-(0))))</f>
        <v>128</v>
      </c>
      <c r="Z18" s="61">
        <f>IF(AND(Z16=16,Z17=12,AND(IFERROR(INDEX('Job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setup'!I$7:I$11,0)),"")=0))),128,MIN(IF(OR(Z16&lt;=0,NOT(OR(AND(IFERROR(INDEX('Job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8"),FALSE))))),MIN(8,Z17)*Z16,Z16*Z17)))),MAX(0,40*MAX(1,Z16)-(Y18))))</f>
        <v>128</v>
      </c>
      <c r="AA18" s="61">
        <f>IF(AND(AA16=16,AA17=12,AND(IFERROR(INDEX('Job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setup'!I$7:I$11,0)),"")=0))),128,MIN(IF(OR(AA16&lt;=0,NOT(OR(AND(IFERROR(INDEX('Job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8"),FALSE))))),MIN(8,AA17)*AA16,AA16*AA17)))),MAX(0,40*MAX(1,AA16)-(Y18+Z18))))</f>
        <v>128</v>
      </c>
      <c r="AB18" s="61">
        <f>IF(AND(AB16=16,AB17=12,AND(IFERROR(INDEX('Job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setup'!I$7:I$11,0)),"")=0))),128,MIN(IF(OR(AB16&lt;=0,NOT(OR(AND(IFERROR(INDEX('Job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8"),FALSE))))),MIN(8,AB17)*AB16,AB16*AB17)))),MAX(0,40*MAX(1,AB16)-(Y18+Z18+AA18))))</f>
        <v>128</v>
      </c>
      <c r="AC18" s="61">
        <f>IF(AND(AC16=16,AC17=12,AND(IFERROR(INDEX('Job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setup'!I$7:I$11,0)),"")=0))),128,MIN(IF(OR(AC16&lt;=0,NOT(OR(AND(IFERROR(INDEX('Job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8"),FALSE))))),MIN(8,AC17)*AC16,AC16*AC17)))),MAX(0,40*MAX(1,AC16)-(Y18+Z18+AA18+AB18))))</f>
        <v>128</v>
      </c>
      <c r="AD18" s="62">
        <f>IF(AND(AD16=16,AD17=12,AND(IFERROR(INDEX('Job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8"),FALSE))))),MIN(8,AD17)*AD16,AD16*AD17)))),MAX(0,40*MAX(1,AD16)-(Y18+Z18+AA18+AB18+AC18))))</f>
        <v>0</v>
      </c>
      <c r="AE18" s="62">
        <f>IF(AND(AE16=16,AE17=12,AND(IFERROR(INDEX('Job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8"),FALSE))))),MIN(8,AE17)*AE16,AE16*AE17)))),MAX(0,40*MAX(1,AE16)-(Y18+Z18+AA18+AB18+AC18+AD18))))</f>
        <v>0</v>
      </c>
      <c r="AF18" s="61">
        <f>IF(AND(AF16=16,AF17=12,AND(IFERROR(INDEX('Job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setup'!I$7:I$11,0)),"")=0))),128,MIN(IF(OR(AF16&lt;=0,NOT(OR(AND(IFERROR(INDEX('Job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8"),FALSE))))),MIN(8,AF17)*AF16,AF16*AF17)))),MAX(0,40*MAX(1,AF16)-(0))))</f>
        <v>128</v>
      </c>
      <c r="AG18" s="61">
        <f>IF(AND(AG16=16,AG17=12,AND(IFERROR(INDEX('Job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setup'!I$7:I$11,0)),"")=0))),128,MIN(IF(OR(AG16&lt;=0,NOT(OR(AND(IFERROR(INDEX('Job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8"),FALSE))))),MIN(8,AG17)*AG16,AG16*AG17)))),MAX(0,40*MAX(1,AG16)-(AF18))))</f>
        <v>128</v>
      </c>
      <c r="AH18" s="61">
        <f>IF(AND(AH16=16,AH17=12,AND(IFERROR(INDEX('Job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setup'!I$7:I$11,0)),"")=0))),128,MIN(IF(OR(AH16&lt;=0,NOT(OR(AND(IFERROR(INDEX('Job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8"),FALSE))))),MIN(8,AH17)*AH16,AH16*AH17)))),MAX(0,40*MAX(1,AH16)-(AF18+AG18))))</f>
        <v>128</v>
      </c>
      <c r="AI18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8"),FALSE))))),MIN(8,AI17)*AI16,AI16*AI17)))),MAX(0,40*MAX(1,AI16)-(0))))</f>
        <v>0</v>
      </c>
      <c r="AJ18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8"),FALSE))))),MIN(8,AJ17)*AJ16,AJ16*AJ17)))),MAX(0,40*MAX(1,AJ16)-(AI18))))</f>
        <v>0</v>
      </c>
      <c r="AK18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8"),FALSE))))),MIN(8,AK17)*AK16,AK16*AK17)))),MAX(0,40*MAX(1,AK16)-(AI18+AJ18))))</f>
        <v>0</v>
      </c>
      <c r="AL18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8"),FALSE))))),MIN(8,AL17)*AL16,AL16*AL17)))),MAX(0,40*MAX(1,AL16)-(AI18+AJ18+AK18))))</f>
        <v>0</v>
      </c>
      <c r="AM18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8"),FALSE))))),MIN(8,AM17)*AM16,AM16*AM17)))),MAX(0,40*MAX(1,AM16)-(0))))</f>
        <v>0</v>
      </c>
      <c r="AN18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8"),FALSE))))),MIN(8,AN17)*AN16,AN16*AN17)))),MAX(0,40*MAX(1,AN16)-(AM18))))</f>
        <v>0</v>
      </c>
      <c r="AO18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8"),FALSE))))),MIN(8,AO17)*AO16,AO16*AO17)))),MAX(0,40*MAX(1,AO16)-(AM18+AN18))))</f>
        <v>0</v>
      </c>
      <c r="AP18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8"),FALSE))))),MIN(8,AP17)*AP16,AP16*AP17)))),MAX(0,40*MAX(1,AP16)-(AM18+AN18+AO18))))</f>
        <v>0</v>
      </c>
      <c r="OU18" s="28" t="s">
        <v>83</v>
      </c>
    </row>
    <row r="19" ht="16" customHeight="1" spans="1:411" x14ac:dyDescent="0.25">
      <c r="A19" s="72"/>
      <c r="B19" s="44"/>
      <c r="C19" s="64">
        <f>G15*N(D19)</f>
        <v>142018.56</v>
      </c>
      <c r="D19" s="64">
        <f>IF(TRIM(B15)="","No rate",IFERROR(INDEX('Rate Tables'!D$7:D$161,MATCH(B15,'Rate Tables'!A$7:A$161,0)),"No rate"))</f>
        <v>138.69</v>
      </c>
      <c r="E19" s="53" t="s">
        <v>63</v>
      </c>
      <c r="F19" s="47"/>
      <c r="G19" s="47"/>
      <c r="H19" s="47"/>
      <c r="I19" s="47"/>
      <c r="J19" s="48"/>
      <c r="K19" s="60">
        <f>IF(AND(K16=0,K17=0,AND(IFERROR(INDEX('Job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setup'!I$7:I$11,0)),"")&gt;=K$6)))),0,IF(WEEKDAY(K$6,1)=1,0,IF(WEEKDAY(K$6,1)=7,K16*K17,IF(IF(AND(IFERROR(INDEX('Job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8"),FALSE))))),MAX(0,K17-8)*K16,0))))+((IF(OR(K16&lt;=0,NOT(OR(AND(IFERROR(INDEX('Job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8"),FALSE))))),MIN(8,K17)*K16,K16*K17)))))-MIN(IF(OR(K16&lt;=0,NOT(OR(AND(IFERROR(INDEX('Job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8"),FALSE))))),MIN(8,K17)*K16,K16*K17)))),MAX(0,40*MAX(1,K16)-(0)))))</f>
        <v>0</v>
      </c>
      <c r="L19" s="61">
        <f>IF(AND(L16=0,L17=0,AND(IFERROR(INDEX('Job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setup'!I$7:I$11,0)),"")&gt;=L$6)))),0,IF(WEEKDAY(L$6,1)=1,0,IF(WEEKDAY(L$6,1)=7,L16*L17,IF(IF(AND(IFERROR(INDEX('Job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8"),FALSE))))),MAX(0,L17-8)*L16,0))))+((IF(OR(L16&lt;=0,NOT(OR(AND(IFERROR(INDEX('Job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8"),FALSE))))),MIN(8,L17)*L16,L16*L17)))))-MIN(IF(OR(L16&lt;=0,NOT(OR(AND(IFERROR(INDEX('Job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8"),FALSE))))),MIN(8,L17)*L16,L16*L17)))),MAX(0,40*MAX(1,L16)-(K18)))))</f>
        <v>0</v>
      </c>
      <c r="M19" s="61">
        <f>IF(AND(M16=0,M17=0,AND(IFERROR(INDEX('Job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setup'!I$7:I$11,0)),"")&gt;=M$6)))),0,IF(WEEKDAY(M$6,1)=1,0,IF(WEEKDAY(M$6,1)=7,M16*M17,IF(IF(AND(IFERROR(INDEX('Job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8"),FALSE))))),MAX(0,M17-8)*M16,0))))+((IF(OR(M16&lt;=0,NOT(OR(AND(IFERROR(INDEX('Job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8"),FALSE))))),MIN(8,M17)*M16,M16*M17)))))-MIN(IF(OR(M16&lt;=0,NOT(OR(AND(IFERROR(INDEX('Job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8"),FALSE))))),MIN(8,M17)*M16,M16*M17)))),MAX(0,40*MAX(1,M16)-(K18+L18)))))</f>
        <v>0</v>
      </c>
      <c r="N19" s="61">
        <f>IF(AND(N16=0,N17=0,AND(IFERROR(INDEX('Job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setup'!I$7:I$11,0)),"")&gt;=N$6)))),0,IF(WEEKDAY(N$6,1)=1,0,IF(WEEKDAY(N$6,1)=7,N16*N17,IF(IF(AND(IFERROR(INDEX('Job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8"),FALSE))))),MAX(0,N17-8)*N16,0))))+((IF(OR(N16&lt;=0,NOT(OR(AND(IFERROR(INDEX('Job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8"),FALSE))))),MIN(8,N17)*N16,N16*N17)))))-MIN(IF(OR(N16&lt;=0,NOT(OR(AND(IFERROR(INDEX('Job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8"),FALSE))))),MIN(8,N17)*N16,N16*N17)))),MAX(0,40*MAX(1,N16)-(K18+L18+M18)))))</f>
        <v>0</v>
      </c>
      <c r="O19" s="61">
        <f>IF(AND(O16=0,O17=0,AND(IFERROR(INDEX('Job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setup'!I$7:I$11,0)),"")&gt;=O$6)))),0,IF(WEEKDAY(O$6,1)=1,0,IF(WEEKDAY(O$6,1)=7,O16*O17,IF(IF(AND(IFERROR(INDEX('Job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8"),FALSE))))),MAX(0,O17-8)*O16,0))))+((IF(OR(O16&lt;=0,NOT(OR(AND(IFERROR(INDEX('Job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8"),FALSE))))),MIN(8,O17)*O16,O16*O17)))))-MIN(IF(OR(O16&lt;=0,NOT(OR(AND(IFERROR(INDEX('Job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8"),FALSE))))),MIN(8,O17)*O16,O16*O17)))),MAX(0,40*MAX(1,O16)-(K18+L18+M18+N18)))))</f>
        <v>0</v>
      </c>
      <c r="P19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setup'!I$7:I$11,0)),"")&gt;=P$6)))),0,IF(WEEKDAY(P$6,1)=1,0,IF(WEEKDAY(P$6,1)=7,P16*P17,IF(IF(AND(IFERROR(INDEX('Job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8"),FALSE))))),MAX(0,P17-8)*P16,0))))+((IF(OR(P16&lt;=0,NOT(OR(AND(IFERROR(INDEX('Job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8"),FALSE))))),MIN(8,P17)*P16,P16*P17)))))-MIN(IF(OR(P16&lt;=0,NOT(OR(AND(IFERROR(INDEX('Job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8"),FALSE))))),MIN(8,P17)*P16,P16*P17)))),MAX(0,40*MAX(1,P16)-(K18+L18+M18+N18+O18)))))</f>
        <v>0</v>
      </c>
      <c r="Q19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setup'!I$7:I$11,0)),"")&gt;=Q$6)))),0,IF(WEEKDAY(Q$6,1)=1,0,IF(WEEKDAY(Q$6,1)=7,Q16*Q17,IF(IF(AND(IFERROR(INDEX('Job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8"),FALSE))))),MAX(0,Q17-8)*Q16,0))))+((IF(OR(Q16&lt;=0,NOT(OR(AND(IFERROR(INDEX('Job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8"),FALSE))))),MIN(8,Q17)*Q16,Q16*Q17)))))-MIN(IF(OR(Q16&lt;=0,NOT(OR(AND(IFERROR(INDEX('Job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8"),FALSE))))),MIN(8,Q17)*Q16,Q16*Q17)))),MAX(0,40*MAX(1,Q16)-(K18+L18+M18+N18+O18+P18)))))</f>
        <v>0</v>
      </c>
      <c r="R19" s="61">
        <f>IF(AND(R16=0,R17=0,AND(IFERROR(INDEX('Job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setup'!I$7:I$11,0)),"")&gt;=R$6)))),0,IF(WEEKDAY(R$6,1)=1,0,IF(WEEKDAY(R$6,1)=7,R16*R17,IF(IF(AND(IFERROR(INDEX('Job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8"),FALSE))))),MAX(0,R17-8)*R16,0))))+((IF(OR(R16&lt;=0,NOT(OR(AND(IFERROR(INDEX('Job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8"),FALSE))))),MIN(8,R17)*R16,R16*R17)))))-MIN(IF(OR(R16&lt;=0,NOT(OR(AND(IFERROR(INDEX('Job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8"),FALSE))))),MIN(8,R17)*R16,R16*R17)))),MAX(0,40*MAX(1,R16)-(0)))))</f>
        <v>0</v>
      </c>
      <c r="S19" s="61">
        <f>IF(AND(S16=0,S17=0,AND(IFERROR(INDEX('Job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setup'!I$7:I$11,0)),"")&gt;=S$6)))),0,IF(WEEKDAY(S$6,1)=1,0,IF(WEEKDAY(S$6,1)=7,S16*S17,IF(IF(AND(IFERROR(INDEX('Job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8"),FALSE))))),MAX(0,S17-8)*S16,0))))+((IF(OR(S16&lt;=0,NOT(OR(AND(IFERROR(INDEX('Job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8"),FALSE))))),MIN(8,S17)*S16,S16*S17)))))-MIN(IF(OR(S16&lt;=0,NOT(OR(AND(IFERROR(INDEX('Job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8"),FALSE))))),MIN(8,S17)*S16,S16*S17)))),MAX(0,40*MAX(1,S16)-(R18)))))</f>
        <v>0</v>
      </c>
      <c r="T19" s="61">
        <f>IF(AND(T16=0,T17=0,AND(IFERROR(INDEX('Job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setup'!I$7:I$11,0)),"")&gt;=T$6)))),0,IF(WEEKDAY(T$6,1)=1,0,IF(WEEKDAY(T$6,1)=7,T16*T17,IF(IF(AND(IFERROR(INDEX('Job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8"),FALSE))))),MAX(0,T17-8)*T16,0))))+((IF(OR(T16&lt;=0,NOT(OR(AND(IFERROR(INDEX('Job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8"),FALSE))))),MIN(8,T17)*T16,T16*T17)))))-MIN(IF(OR(T16&lt;=0,NOT(OR(AND(IFERROR(INDEX('Job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8"),FALSE))))),MIN(8,T17)*T16,T16*T17)))),MAX(0,40*MAX(1,T16)-(R18+S18)))))</f>
        <v>0</v>
      </c>
      <c r="U19" s="61">
        <f>IF(AND(U16=16,U17=12,AND(IFERROR(INDEX('Job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setup'!I$7:I$11,0)),"")=0))),64,IF(OR(U16&lt;=0,NOT(OR(AND(IFERROR(INDEX('Job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setup'!I$7:I$11,0)),"")&gt;=U$6)))),0,IF(WEEKDAY(U$6,1)=1,0,IF(WEEKDAY(U$6,1)=7,U16*U17,IF(IF(AND(IFERROR(INDEX('Job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8"),FALSE))))),MAX(0,U17-8)*U16,0))))+((IF(OR(U16&lt;=0,NOT(OR(AND(IFERROR(INDEX('Job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8"),FALSE))))),MIN(8,U17)*U16,U16*U17)))))-MIN(IF(OR(U16&lt;=0,NOT(OR(AND(IFERROR(INDEX('Job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8"),FALSE))))),MIN(8,U17)*U16,U16*U17)))),MAX(0,40*MAX(1,U16)-(0)))))</f>
        <v>64</v>
      </c>
      <c r="V19" s="61">
        <f>IF(AND(V16=16,V17=12,AND(IFERROR(INDEX('Job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setup'!I$7:I$11,0)),"")=0))),64,IF(OR(V16&lt;=0,NOT(OR(AND(IFERROR(INDEX('Job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setup'!I$7:I$11,0)),"")&gt;=V$6)))),0,IF(WEEKDAY(V$6,1)=1,0,IF(WEEKDAY(V$6,1)=7,V16*V17,IF(IF(AND(IFERROR(INDEX('Job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8"),FALSE))))),MAX(0,V17-8)*V16,0))))+((IF(OR(V16&lt;=0,NOT(OR(AND(IFERROR(INDEX('Job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8"),FALSE))))),MIN(8,V17)*V16,V16*V17)))))-MIN(IF(OR(V16&lt;=0,NOT(OR(AND(IFERROR(INDEX('Job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8"),FALSE))))),MIN(8,V17)*V16,V16*V17)))),MAX(0,40*MAX(1,V16)-(U18)))))</f>
        <v>64</v>
      </c>
      <c r="W19" s="62">
        <f>IF(AND(W16=16,W17=12,AND(IFERROR(INDEX('Job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setup'!I$7:I$11,0)),"")=0))),192,IF(OR(W16&lt;=0,NOT(OR(AND(IFERROR(INDEX('Job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setup'!I$7:I$11,0)),"")&gt;=W$6)))),0,IF(WEEKDAY(W$6,1)=1,0,IF(WEEKDAY(W$6,1)=7,W16*W17,IF(IF(AND(IFERROR(INDEX('Job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8"),FALSE))))),MAX(0,W17-8)*W16,0))))+((IF(OR(W16&lt;=0,NOT(OR(AND(IFERROR(INDEX('Job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8"),FALSE))))),MIN(8,W17)*W16,W16*W17)))))-MIN(IF(OR(W16&lt;=0,NOT(OR(AND(IFERROR(INDEX('Job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8"),FALSE))))),MIN(8,W17)*W16,W16*W17)))),MAX(0,40*MAX(1,W16)-(U18+V18)))))</f>
        <v>192</v>
      </c>
      <c r="X19" s="62">
        <f>IF(AND(X16=16,X17=12,AND(IFERROR(INDEX('Job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setup'!I$7:I$11,0)),"")&gt;=X$6)))),0,IF(WEEKDAY(X$6,1)=1,0,IF(WEEKDAY(X$6,1)=7,X16*X17,IF(IF(AND(IFERROR(INDEX('Job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8"),FALSE))))),MAX(0,X17-8)*X16,0))))+((IF(OR(X16&lt;=0,NOT(OR(AND(IFERROR(INDEX('Job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8"),FALSE))))),MIN(8,X17)*X16,X16*X17)))))-MIN(IF(OR(X16&lt;=0,NOT(OR(AND(IFERROR(INDEX('Job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8"),FALSE))))),MIN(8,X17)*X16,X16*X17)))),MAX(0,40*MAX(1,X16)-(U18+V18+W18)))))</f>
        <v>0</v>
      </c>
      <c r="Y19" s="61">
        <f>IF(AND(Y16=16,Y17=12,AND(IFERROR(INDEX('Job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setup'!I$7:I$11,0)),"")=0))),64,IF(OR(Y16&lt;=0,NOT(OR(AND(IFERROR(INDEX('Job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setup'!I$7:I$11,0)),"")&gt;=Y$6)))),0,IF(WEEKDAY(Y$6,1)=1,0,IF(WEEKDAY(Y$6,1)=7,Y16*Y17,IF(IF(AND(IFERROR(INDEX('Job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8"),FALSE))))),MAX(0,Y17-8)*Y16,0))))+((IF(OR(Y16&lt;=0,NOT(OR(AND(IFERROR(INDEX('Job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8"),FALSE))))),MIN(8,Y17)*Y16,Y16*Y17)))))-MIN(IF(OR(Y16&lt;=0,NOT(OR(AND(IFERROR(INDEX('Job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8"),FALSE))))),MIN(8,Y17)*Y16,Y16*Y17)))),MAX(0,40*MAX(1,Y16)-(0)))))</f>
        <v>64</v>
      </c>
      <c r="Z19" s="61">
        <f>IF(AND(Z16=16,Z17=12,AND(IFERROR(INDEX('Job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setup'!I$7:I$11,0)),"")=0))),64,IF(OR(Z16&lt;=0,NOT(OR(AND(IFERROR(INDEX('Job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setup'!I$7:I$11,0)),"")&gt;=Z$6)))),0,IF(WEEKDAY(Z$6,1)=1,0,IF(WEEKDAY(Z$6,1)=7,Z16*Z17,IF(IF(AND(IFERROR(INDEX('Job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8"),FALSE))))),MAX(0,Z17-8)*Z16,0))))+((IF(OR(Z16&lt;=0,NOT(OR(AND(IFERROR(INDEX('Job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8"),FALSE))))),MIN(8,Z17)*Z16,Z16*Z17)))))-MIN(IF(OR(Z16&lt;=0,NOT(OR(AND(IFERROR(INDEX('Job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8"),FALSE))))),MIN(8,Z17)*Z16,Z16*Z17)))),MAX(0,40*MAX(1,Z16)-(Y18)))))</f>
        <v>64</v>
      </c>
      <c r="AA19" s="61">
        <f>IF(AND(AA16=16,AA17=12,AND(IFERROR(INDEX('Job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setup'!I$7:I$11,0)),"")=0))),64,IF(OR(AA16&lt;=0,NOT(OR(AND(IFERROR(INDEX('Job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setup'!I$7:I$11,0)),"")&gt;=AA$6)))),0,IF(WEEKDAY(AA$6,1)=1,0,IF(WEEKDAY(AA$6,1)=7,AA16*AA17,IF(IF(AND(IFERROR(INDEX('Job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8"),FALSE))))),MAX(0,AA17-8)*AA16,0))))+((IF(OR(AA16&lt;=0,NOT(OR(AND(IFERROR(INDEX('Job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8"),FALSE))))),MIN(8,AA17)*AA16,AA16*AA17)))))-MIN(IF(OR(AA16&lt;=0,NOT(OR(AND(IFERROR(INDEX('Job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8"),FALSE))))),MIN(8,AA17)*AA16,AA16*AA17)))),MAX(0,40*MAX(1,AA16)-(Y18+Z18)))))</f>
        <v>64</v>
      </c>
      <c r="AB19" s="61">
        <f>IF(AND(AB16=16,AB17=12,AND(IFERROR(INDEX('Job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setup'!I$7:I$11,0)),"")=0))),64,IF(OR(AB16&lt;=0,NOT(OR(AND(IFERROR(INDEX('Job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setup'!I$7:I$11,0)),"")&gt;=AB$6)))),0,IF(WEEKDAY(AB$6,1)=1,0,IF(WEEKDAY(AB$6,1)=7,AB16*AB17,IF(IF(AND(IFERROR(INDEX('Job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8"),FALSE))))),MAX(0,AB17-8)*AB16,0))))+((IF(OR(AB16&lt;=0,NOT(OR(AND(IFERROR(INDEX('Job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8"),FALSE))))),MIN(8,AB17)*AB16,AB16*AB17)))))-MIN(IF(OR(AB16&lt;=0,NOT(OR(AND(IFERROR(INDEX('Job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8"),FALSE))))),MIN(8,AB17)*AB16,AB16*AB17)))),MAX(0,40*MAX(1,AB16)-(Y18+Z18+AA18)))))</f>
        <v>64</v>
      </c>
      <c r="AC19" s="61">
        <f>IF(AND(AC16=16,AC17=12,AND(IFERROR(INDEX('Job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setup'!I$7:I$11,0)),"")=0))),64,IF(OR(AC16&lt;=0,NOT(OR(AND(IFERROR(INDEX('Job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setup'!I$7:I$11,0)),"")&gt;=AC$6)))),0,IF(WEEKDAY(AC$6,1)=1,0,IF(WEEKDAY(AC$6,1)=7,AC16*AC17,IF(IF(AND(IFERROR(INDEX('Job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8"),FALSE))))),MAX(0,AC17-8)*AC16,0))))+((IF(OR(AC16&lt;=0,NOT(OR(AND(IFERROR(INDEX('Job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8"),FALSE))))),MIN(8,AC17)*AC16,AC16*AC17)))))-MIN(IF(OR(AC16&lt;=0,NOT(OR(AND(IFERROR(INDEX('Job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8"),FALSE))))),MIN(8,AC17)*AC16,AC16*AC17)))),MAX(0,40*MAX(1,AC16)-(Y18+Z18+AA18+AB18)))))</f>
        <v>64</v>
      </c>
      <c r="AD19" s="62">
        <f>IF(AND(AD16=16,AD17=12,AND(IFERROR(INDEX('Job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setup'!I$7:I$11,0)),"")=0))),192,IF(OR(AD16&lt;=0,NOT(OR(AND(IFERROR(INDEX('Job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setup'!I$7:I$11,0)),"")&gt;=AD$6)))),0,IF(WEEKDAY(AD$6,1)=1,0,IF(WEEKDAY(AD$6,1)=7,AD16*AD17,IF(IF(AND(IFERROR(INDEX('Job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8"),FALSE))))),MAX(0,AD17-8)*AD16,0))))+((IF(OR(AD16&lt;=0,NOT(OR(AND(IFERROR(INDEX('Job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8"),FALSE))))),MIN(8,AD17)*AD16,AD16*AD17)))))-MIN(IF(OR(AD16&lt;=0,NOT(OR(AND(IFERROR(INDEX('Job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8"),FALSE))))),MIN(8,AD17)*AD16,AD16*AD17)))),MAX(0,40*MAX(1,AD16)-(Y18+Z18+AA18+AB18+AC18)))))</f>
        <v>192</v>
      </c>
      <c r="AE19" s="62">
        <f>IF(AND(AE16=16,AE17=12,AND(IFERROR(INDEX('Job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setup'!I$7:I$11,0)),"")&gt;=AE$6)))),0,IF(WEEKDAY(AE$6,1)=1,0,IF(WEEKDAY(AE$6,1)=7,AE16*AE17,IF(IF(AND(IFERROR(INDEX('Job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8"),FALSE))))),MAX(0,AE17-8)*AE16,0))))+((IF(OR(AE16&lt;=0,NOT(OR(AND(IFERROR(INDEX('Job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8"),FALSE))))),MIN(8,AE17)*AE16,AE16*AE17)))))-MIN(IF(OR(AE16&lt;=0,NOT(OR(AND(IFERROR(INDEX('Job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8"),FALSE))))),MIN(8,AE17)*AE16,AE16*AE17)))),MAX(0,40*MAX(1,AE16)-(Y18+Z18+AA18+AB18+AC18+AD18)))))</f>
        <v>0</v>
      </c>
      <c r="AF19" s="61">
        <f>IF(AND(AF16=16,AF17=12,AND(IFERROR(INDEX('Job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setup'!I$7:I$11,0)),"")=0))),64,IF(OR(AF16&lt;=0,NOT(OR(AND(IFERROR(INDEX('Job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setup'!I$7:I$11,0)),"")&gt;=AF$6)))),0,IF(WEEKDAY(AF$6,1)=1,0,IF(WEEKDAY(AF$6,1)=7,AF16*AF17,IF(IF(AND(IFERROR(INDEX('Job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8"),FALSE))))),MAX(0,AF17-8)*AF16,0))))+((IF(OR(AF16&lt;=0,NOT(OR(AND(IFERROR(INDEX('Job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8"),FALSE))))),MIN(8,AF17)*AF16,AF16*AF17)))))-MIN(IF(OR(AF16&lt;=0,NOT(OR(AND(IFERROR(INDEX('Job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8"),FALSE))))),MIN(8,AF17)*AF16,AF16*AF17)))),MAX(0,40*MAX(1,AF16)-(0)))))</f>
        <v>64</v>
      </c>
      <c r="AG19" s="61">
        <f>IF(AND(AG16=16,AG17=12,AND(IFERROR(INDEX('Job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setup'!I$7:I$11,0)),"")=0))),64,IF(OR(AG16&lt;=0,NOT(OR(AND(IFERROR(INDEX('Job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setup'!I$7:I$11,0)),"")&gt;=AG$6)))),0,IF(WEEKDAY(AG$6,1)=1,0,IF(WEEKDAY(AG$6,1)=7,AG16*AG17,IF(IF(AND(IFERROR(INDEX('Job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8"),FALSE))))),MAX(0,AG17-8)*AG16,0))))+((IF(OR(AG16&lt;=0,NOT(OR(AND(IFERROR(INDEX('Job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8"),FALSE))))),MIN(8,AG17)*AG16,AG16*AG17)))))-MIN(IF(OR(AG16&lt;=0,NOT(OR(AND(IFERROR(INDEX('Job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8"),FALSE))))),MIN(8,AG17)*AG16,AG16*AG17)))),MAX(0,40*MAX(1,AG16)-(AF18)))))</f>
        <v>64</v>
      </c>
      <c r="AH19" s="61">
        <f>IF(AND(AH16=16,AH17=12,AND(IFERROR(INDEX('Job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setup'!I$7:I$11,0)),"")=0))),64,IF(OR(AH16&lt;=0,NOT(OR(AND(IFERROR(INDEX('Job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setup'!I$7:I$11,0)),"")&gt;=AH$6)))),0,IF(WEEKDAY(AH$6,1)=1,0,IF(WEEKDAY(AH$6,1)=7,AH16*AH17,IF(IF(AND(IFERROR(INDEX('Job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8"),FALSE))))),MAX(0,AH17-8)*AH16,0))))+((IF(OR(AH16&lt;=0,NOT(OR(AND(IFERROR(INDEX('Job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8"),FALSE))))),MIN(8,AH17)*AH16,AH16*AH17)))))-MIN(IF(OR(AH16&lt;=0,NOT(OR(AND(IFERROR(INDEX('Job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8"),FALSE))))),MIN(8,AH17)*AH16,AH16*AH17)))),MAX(0,40*MAX(1,AH16)-(AF18+AG18)))))</f>
        <v>64</v>
      </c>
      <c r="AI19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setup'!I$7:I$11,0)),"")&gt;=AI$6)))),0,IF(WEEKDAY(AI$6,1)=1,0,IF(WEEKDAY(AI$6,1)=7,AI16*AI17,IF(IF(AND(IFERROR(INDEX('Job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8"),FALSE))))),MAX(0,AI17-8)*AI16,0))))+((IF(OR(AI16&lt;=0,NOT(OR(AND(IFERROR(INDEX('Job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8"),FALSE))))),MIN(8,AI17)*AI16,AI16*AI17)))))-MIN(IF(OR(AI16&lt;=0,NOT(OR(AND(IFERROR(INDEX('Job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8"),FALSE))))),MIN(8,AI17)*AI16,AI16*AI17)))),MAX(0,40*MAX(1,AI16)-(0)))))</f>
        <v>0</v>
      </c>
      <c r="AJ19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setup'!I$7:I$11,0)),"")&gt;=AJ$6)))),0,IF(WEEKDAY(AJ$6,1)=1,0,IF(WEEKDAY(AJ$6,1)=7,AJ16*AJ17,IF(IF(AND(IFERROR(INDEX('Job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8"),FALSE))))),MAX(0,AJ17-8)*AJ16,0))))+((IF(OR(AJ16&lt;=0,NOT(OR(AND(IFERROR(INDEX('Job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8"),FALSE))))),MIN(8,AJ17)*AJ16,AJ16*AJ17)))))-MIN(IF(OR(AJ16&lt;=0,NOT(OR(AND(IFERROR(INDEX('Job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8"),FALSE))))),MIN(8,AJ17)*AJ16,AJ16*AJ17)))),MAX(0,40*MAX(1,AJ16)-(AI18)))))</f>
        <v>0</v>
      </c>
      <c r="AK19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setup'!I$7:I$11,0)),"")&gt;=AK$6)))),0,IF(WEEKDAY(AK$6,1)=1,0,IF(WEEKDAY(AK$6,1)=7,AK16*AK17,IF(IF(AND(IFERROR(INDEX('Job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8"),FALSE))))),MAX(0,AK17-8)*AK16,0))))+((IF(OR(AK16&lt;=0,NOT(OR(AND(IFERROR(INDEX('Job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8"),FALSE))))),MIN(8,AK17)*AK16,AK16*AK17)))))-MIN(IF(OR(AK16&lt;=0,NOT(OR(AND(IFERROR(INDEX('Job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8"),FALSE))))),MIN(8,AK17)*AK16,AK16*AK17)))),MAX(0,40*MAX(1,AK16)-(AI18+AJ18)))))</f>
        <v>0</v>
      </c>
      <c r="AL19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setup'!I$7:I$11,0)),"")&gt;=AL$6)))),0,IF(WEEKDAY(AL$6,1)=1,0,IF(WEEKDAY(AL$6,1)=7,AL16*AL17,IF(IF(AND(IFERROR(INDEX('Job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8"),FALSE))))),MAX(0,AL17-8)*AL16,0))))+((IF(OR(AL16&lt;=0,NOT(OR(AND(IFERROR(INDEX('Job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8"),FALSE))))),MIN(8,AL17)*AL16,AL16*AL17)))))-MIN(IF(OR(AL16&lt;=0,NOT(OR(AND(IFERROR(INDEX('Job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8"),FALSE))))),MIN(8,AL17)*AL16,AL16*AL17)))),MAX(0,40*MAX(1,AL16)-(AI18+AJ18+AK18)))))</f>
        <v>0</v>
      </c>
      <c r="AM19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setup'!I$7:I$11,0)),"")&gt;=AM$6)))),0,IF(WEEKDAY(AM$6,1)=1,0,IF(WEEKDAY(AM$6,1)=7,AM16*AM17,IF(IF(AND(IFERROR(INDEX('Job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8"),FALSE))))),MAX(0,AM17-8)*AM16,0))))+((IF(OR(AM16&lt;=0,NOT(OR(AND(IFERROR(INDEX('Job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8"),FALSE))))),MIN(8,AM17)*AM16,AM16*AM17)))))-MIN(IF(OR(AM16&lt;=0,NOT(OR(AND(IFERROR(INDEX('Job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8"),FALSE))))),MIN(8,AM17)*AM16,AM16*AM17)))),MAX(0,40*MAX(1,AM16)-(0)))))</f>
        <v>0</v>
      </c>
      <c r="AN19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setup'!I$7:I$11,0)),"")&gt;=AN$6)))),0,IF(WEEKDAY(AN$6,1)=1,0,IF(WEEKDAY(AN$6,1)=7,AN16*AN17,IF(IF(AND(IFERROR(INDEX('Job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8"),FALSE))))),MAX(0,AN17-8)*AN16,0))))+((IF(OR(AN16&lt;=0,NOT(OR(AND(IFERROR(INDEX('Job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8"),FALSE))))),MIN(8,AN17)*AN16,AN16*AN17)))))-MIN(IF(OR(AN16&lt;=0,NOT(OR(AND(IFERROR(INDEX('Job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8"),FALSE))))),MIN(8,AN17)*AN16,AN16*AN17)))),MAX(0,40*MAX(1,AN16)-(AM18)))))</f>
        <v>0</v>
      </c>
      <c r="AO19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setup'!I$7:I$11,0)),"")&gt;=AO$6)))),0,IF(WEEKDAY(AO$6,1)=1,0,IF(WEEKDAY(AO$6,1)=7,AO16*AO17,IF(IF(AND(IFERROR(INDEX('Job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8"),FALSE))))),MAX(0,AO17-8)*AO16,0))))+((IF(OR(AO16&lt;=0,NOT(OR(AND(IFERROR(INDEX('Job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8"),FALSE))))),MIN(8,AO17)*AO16,AO16*AO17)))))-MIN(IF(OR(AO16&lt;=0,NOT(OR(AND(IFERROR(INDEX('Job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8"),FALSE))))),MIN(8,AO17)*AO16,AO16*AO17)))),MAX(0,40*MAX(1,AO16)-(AM18+AN18)))))</f>
        <v>0</v>
      </c>
      <c r="AP19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setup'!I$7:I$11,0)),"")&gt;=AP$6)))),0,IF(WEEKDAY(AP$6,1)=1,0,IF(WEEKDAY(AP$6,1)=7,AP16*AP17,IF(IF(AND(IFERROR(INDEX('Job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8"),FALSE))))),MAX(0,AP17-8)*AP16,0))))+((IF(OR(AP16&lt;=0,NOT(OR(AND(IFERROR(INDEX('Job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8"),FALSE))))),MIN(8,AP17)*AP16,AP16*AP17)))))-MIN(IF(OR(AP16&lt;=0,NOT(OR(AND(IFERROR(INDEX('Job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8"),FALSE))))),MIN(8,AP17)*AP16,AP16*AP17)))),MAX(0,40*MAX(1,AP16)-(AM18+AN18+AO18)))))</f>
        <v>0</v>
      </c>
      <c r="OU19" s="28" t="s">
        <v>83</v>
      </c>
    </row>
    <row r="20" ht="16" customHeight="1" spans="1:411" x14ac:dyDescent="0.25">
      <c r="A20" s="72"/>
      <c r="B20" s="44"/>
      <c r="C20" s="59">
        <f>H15*N(D20)</f>
        <v>68371.20000000001</v>
      </c>
      <c r="D20" s="59">
        <f>IF(TRIM(B15)="","No rate",IFERROR(INDEX('Rate Tables'!E$7:E$161,MATCH(B15,'Rate Tables'!A$7:A$161,0)),"No rate"))</f>
        <v>178.05</v>
      </c>
      <c r="E20" s="53" t="s">
        <v>64</v>
      </c>
      <c r="F20" s="47"/>
      <c r="G20" s="47"/>
      <c r="H20" s="47"/>
      <c r="I20" s="47"/>
      <c r="J20" s="48"/>
      <c r="K20" s="60">
        <f>IF(AND(K16=0,K17=0,AND(IFERROR(INDEX('Job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setup'!I$7:I$11,0)),"")&gt;=K$6)))),0,IF(WEEKDAY(K$6,1)=1,K16*K17,0)))</f>
        <v>0</v>
      </c>
      <c r="L20" s="61">
        <f>IF(AND(L16=0,L17=0,AND(IFERROR(INDEX('Job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setup'!I$7:I$11,0)),"")&gt;=L$6)))),0,IF(WEEKDAY(L$6,1)=1,L16*L17,0)))</f>
        <v>0</v>
      </c>
      <c r="M20" s="61">
        <f>IF(AND(M16=0,M17=0,AND(IFERROR(INDEX('Job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setup'!I$7:I$11,0)),"")&gt;=M$6)))),0,IF(WEEKDAY(M$6,1)=1,M16*M17,0)))</f>
        <v>0</v>
      </c>
      <c r="N20" s="61">
        <f>IF(AND(N16=0,N17=0,AND(IFERROR(INDEX('Job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setup'!I$7:I$11,0)),"")&gt;=N$6)))),0,IF(WEEKDAY(N$6,1)=1,N16*N17,0)))</f>
        <v>0</v>
      </c>
      <c r="O20" s="61">
        <f>IF(AND(O16=0,O17=0,AND(IFERROR(INDEX('Job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setup'!I$7:I$11,0)),"")&gt;=O$6)))),0,IF(WEEKDAY(O$6,1)=1,O16*O17,0)))</f>
        <v>0</v>
      </c>
      <c r="P20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setup'!I$7:I$11,0)),"")&gt;=P$6)))),0,IF(WEEKDAY(P$6,1)=1,P16*P17,0)))</f>
        <v>0</v>
      </c>
      <c r="Q20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setup'!I$7:I$11,0)),"")&gt;=Q$6)))),0,IF(WEEKDAY(Q$6,1)=1,Q16*Q17,0)))</f>
        <v>0</v>
      </c>
      <c r="R20" s="61">
        <f>IF(AND(R16=0,R17=0,AND(IFERROR(INDEX('Job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setup'!I$7:I$11,0)),"")&gt;=R$6)))),0,IF(WEEKDAY(R$6,1)=1,R16*R17,0)))</f>
        <v>0</v>
      </c>
      <c r="S20" s="61">
        <f>IF(AND(S16=0,S17=0,AND(IFERROR(INDEX('Job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setup'!I$7:I$11,0)),"")&gt;=S$6)))),0,IF(WEEKDAY(S$6,1)=1,S16*S17,0)))</f>
        <v>0</v>
      </c>
      <c r="T20" s="61">
        <f>IF(AND(T16=0,T17=0,AND(IFERROR(INDEX('Job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setup'!I$7:I$11,0)),"")&gt;=T$6)))),0,IF(WEEKDAY(T$6,1)=1,T16*T17,0)))</f>
        <v>0</v>
      </c>
      <c r="U20" s="61">
        <f>IF(AND(U16=16,U17=12,AND(IFERROR(INDEX('Job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setup'!I$7:I$11,0)),"")&gt;=U$6)))),0,IF(WEEKDAY(U$6,1)=1,U16*U17,0)))</f>
        <v>0</v>
      </c>
      <c r="V20" s="61">
        <f>IF(AND(V16=16,V17=12,AND(IFERROR(INDEX('Job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setup'!I$7:I$11,0)),"")&gt;=V$6)))),0,IF(WEEKDAY(V$6,1)=1,V16*V17,0)))</f>
        <v>0</v>
      </c>
      <c r="W20" s="62">
        <f>IF(AND(W16=16,W17=12,AND(IFERROR(INDEX('Job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setup'!I$7:I$11,0)),"")&gt;=W$6)))),0,IF(WEEKDAY(W$6,1)=1,W16*W17,0)))</f>
        <v>0</v>
      </c>
      <c r="X20" s="62">
        <f>IF(AND(X16=16,X17=12,AND(IFERROR(INDEX('Job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setup'!I$7:I$11,0)),"")=0))),192,IF(OR(X16&lt;=0,NOT(OR(AND(IFERROR(INDEX('Job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setup'!I$7:I$11,0)),"")&gt;=X$6)))),0,IF(WEEKDAY(X$6,1)=1,X16*X17,0)))</f>
        <v>192</v>
      </c>
      <c r="Y20" s="61">
        <f>IF(AND(Y16=16,Y17=12,AND(IFERROR(INDEX('Job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setup'!I$7:I$11,0)),"")&gt;=Y$6)))),0,IF(WEEKDAY(Y$6,1)=1,Y16*Y17,0)))</f>
        <v>0</v>
      </c>
      <c r="Z20" s="61">
        <f>IF(AND(Z16=16,Z17=12,AND(IFERROR(INDEX('Job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setup'!I$7:I$11,0)),"")&gt;=Z$6)))),0,IF(WEEKDAY(Z$6,1)=1,Z16*Z17,0)))</f>
        <v>0</v>
      </c>
      <c r="AA20" s="61">
        <f>IF(AND(AA16=16,AA17=12,AND(IFERROR(INDEX('Job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setup'!I$7:I$11,0)),"")&gt;=AA$6)))),0,IF(WEEKDAY(AA$6,1)=1,AA16*AA17,0)))</f>
        <v>0</v>
      </c>
      <c r="AB20" s="61">
        <f>IF(AND(AB16=16,AB17=12,AND(IFERROR(INDEX('Job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setup'!I$7:I$11,0)),"")&gt;=AB$6)))),0,IF(WEEKDAY(AB$6,1)=1,AB16*AB17,0)))</f>
        <v>0</v>
      </c>
      <c r="AC20" s="61">
        <f>IF(AND(AC16=16,AC17=12,AND(IFERROR(INDEX('Job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setup'!I$7:I$11,0)),"")&gt;=AC$6)))),0,IF(WEEKDAY(AC$6,1)=1,AC16*AC17,0)))</f>
        <v>0</v>
      </c>
      <c r="AD20" s="62">
        <f>IF(AND(AD16=16,AD17=12,AND(IFERROR(INDEX('Job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setup'!I$7:I$11,0)),"")&gt;=AD$6)))),0,IF(WEEKDAY(AD$6,1)=1,AD16*AD17,0)))</f>
        <v>0</v>
      </c>
      <c r="AE20" s="62">
        <f>IF(AND(AE16=16,AE17=12,AND(IFERROR(INDEX('Job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setup'!I$7:I$11,0)),"")=0))),192,IF(OR(AE16&lt;=0,NOT(OR(AND(IFERROR(INDEX('Job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setup'!I$7:I$11,0)),"")&gt;=AE$6)))),0,IF(WEEKDAY(AE$6,1)=1,AE16*AE17,0)))</f>
        <v>192</v>
      </c>
      <c r="AF20" s="61">
        <f>IF(AND(AF16=16,AF17=12,AND(IFERROR(INDEX('Job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setup'!I$7:I$11,0)),"")&gt;=AF$6)))),0,IF(WEEKDAY(AF$6,1)=1,AF16*AF17,0)))</f>
        <v>0</v>
      </c>
      <c r="AG20" s="61">
        <f>IF(AND(AG16=16,AG17=12,AND(IFERROR(INDEX('Job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setup'!I$7:I$11,0)),"")&gt;=AG$6)))),0,IF(WEEKDAY(AG$6,1)=1,AG16*AG17,0)))</f>
        <v>0</v>
      </c>
      <c r="AH20" s="61">
        <f>IF(AND(AH16=16,AH17=12,AND(IFERROR(INDEX('Job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setup'!I$7:I$11,0)),"")&gt;=AH$6)))),0,IF(WEEKDAY(AH$6,1)=1,AH16*AH17,0)))</f>
        <v>0</v>
      </c>
      <c r="AI20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setup'!I$7:I$11,0)),"")&gt;=AI$6)))),0,IF(WEEKDAY(AI$6,1)=1,AI16*AI17,0)))</f>
        <v>0</v>
      </c>
      <c r="AJ20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setup'!I$7:I$11,0)),"")&gt;=AJ$6)))),0,IF(WEEKDAY(AJ$6,1)=1,AJ16*AJ17,0)))</f>
        <v>0</v>
      </c>
      <c r="AK20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setup'!I$7:I$11,0)),"")&gt;=AK$6)))),0,IF(WEEKDAY(AK$6,1)=1,AK16*AK17,0)))</f>
        <v>0</v>
      </c>
      <c r="AL20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setup'!I$7:I$11,0)),"")&gt;=AL$6)))),0,IF(WEEKDAY(AL$6,1)=1,AL16*AL17,0)))</f>
        <v>0</v>
      </c>
      <c r="AM20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setup'!I$7:I$11,0)),"")&gt;=AM$6)))),0,IF(WEEKDAY(AM$6,1)=1,AM16*AM17,0)))</f>
        <v>0</v>
      </c>
      <c r="AN20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setup'!I$7:I$11,0)),"")&gt;=AN$6)))),0,IF(WEEKDAY(AN$6,1)=1,AN16*AN17,0)))</f>
        <v>0</v>
      </c>
      <c r="AO20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setup'!I$7:I$11,0)),"")&gt;=AO$6)))),0,IF(WEEKDAY(AO$6,1)=1,AO16*AO17,0)))</f>
        <v>0</v>
      </c>
      <c r="AP20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setup'!I$7:I$11,0)),"")&gt;=AP$6)))),0,IF(WEEKDAY(AP$6,1)=1,AP16*AP17,0)))</f>
        <v>0</v>
      </c>
      <c r="OU20" s="28" t="s">
        <v>83</v>
      </c>
    </row>
    <row r="21" ht="16" customHeight="1" spans="1:411" x14ac:dyDescent="0.25">
      <c r="A21" s="72"/>
      <c r="B21" s="44"/>
      <c r="C21" s="65">
        <f>I15*D21</f>
        <v>1820</v>
      </c>
      <c r="D21" s="65">
        <v>130</v>
      </c>
      <c r="E21" s="66" t="s">
        <v>65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83</v>
      </c>
    </row>
    <row r="22" ht="16" customHeight="1" spans="1:411" x14ac:dyDescent="0.25">
      <c r="A22" s="16" t="s">
        <v>77</v>
      </c>
      <c r="B22" s="17"/>
      <c r="C22" s="73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3">
        <f>SUM(J7,J15)</f>
        <v>806255.52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2">
    <dataValidation type="list" allowBlank="1" sqref="B15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26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35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39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41</v>
      </c>
      <c r="L5" s="40" t="s">
        <v>42</v>
      </c>
      <c r="M5" s="40" t="s">
        <v>43</v>
      </c>
      <c r="N5" s="40" t="s">
        <v>44</v>
      </c>
      <c r="O5" s="40" t="s">
        <v>45</v>
      </c>
      <c r="P5" s="40" t="s">
        <v>46</v>
      </c>
      <c r="Q5" s="40" t="s">
        <v>47</v>
      </c>
      <c r="R5" s="40" t="s">
        <v>41</v>
      </c>
      <c r="S5" s="40" t="s">
        <v>42</v>
      </c>
      <c r="T5" s="40" t="s">
        <v>43</v>
      </c>
      <c r="U5" s="40" t="s">
        <v>44</v>
      </c>
      <c r="V5" s="40" t="s">
        <v>45</v>
      </c>
      <c r="W5" s="40" t="s">
        <v>46</v>
      </c>
      <c r="X5" s="40" t="s">
        <v>47</v>
      </c>
      <c r="Y5" s="40" t="s">
        <v>41</v>
      </c>
      <c r="Z5" s="40" t="s">
        <v>42</v>
      </c>
      <c r="AA5" s="40" t="s">
        <v>43</v>
      </c>
      <c r="AB5" s="40" t="s">
        <v>44</v>
      </c>
      <c r="AC5" s="40" t="s">
        <v>45</v>
      </c>
      <c r="AD5" s="40" t="s">
        <v>46</v>
      </c>
      <c r="AE5" s="40" t="s">
        <v>47</v>
      </c>
      <c r="AF5" s="40" t="s">
        <v>41</v>
      </c>
      <c r="AG5" s="40" t="s">
        <v>42</v>
      </c>
      <c r="AH5" s="40" t="s">
        <v>43</v>
      </c>
      <c r="AI5" s="40" t="s">
        <v>44</v>
      </c>
      <c r="AJ5" s="40" t="s">
        <v>45</v>
      </c>
      <c r="AK5" s="40" t="s">
        <v>46</v>
      </c>
      <c r="AL5" s="40" t="s">
        <v>47</v>
      </c>
      <c r="AM5" s="40" t="s">
        <v>41</v>
      </c>
      <c r="AN5" s="40" t="s">
        <v>42</v>
      </c>
      <c r="AO5" s="40" t="s">
        <v>43</v>
      </c>
      <c r="AP5" s="40" t="s">
        <v>44</v>
      </c>
    </row>
    <row r="6" ht="22" customHeight="1" spans="1:42" x14ac:dyDescent="0.25">
      <c r="A6" s="24" t="s">
        <v>48</v>
      </c>
      <c r="B6" s="24" t="s">
        <v>49</v>
      </c>
      <c r="C6" s="24" t="s">
        <v>50</v>
      </c>
      <c r="D6" s="24" t="s">
        <v>51</v>
      </c>
      <c r="E6" s="24" t="s">
        <v>52</v>
      </c>
      <c r="F6" s="24" t="s">
        <v>53</v>
      </c>
      <c r="G6" s="24" t="s">
        <v>54</v>
      </c>
      <c r="H6" s="24" t="s">
        <v>55</v>
      </c>
      <c r="I6" s="24" t="s">
        <v>56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57</v>
      </c>
      <c r="B7" s="75" t="s">
        <v>84</v>
      </c>
      <c r="C7" s="45">
        <f>J7</f>
        <v>35319.439999999995</v>
      </c>
      <c r="D7" s="46"/>
      <c r="E7" s="46"/>
      <c r="F7" s="47">
        <f>SUM(K10:AP10)</f>
        <v>192</v>
      </c>
      <c r="G7" s="47">
        <f>SUM(K11:AP11)</f>
        <v>64</v>
      </c>
      <c r="H7" s="47">
        <f>SUM(K12:AP12)</f>
        <v>24</v>
      </c>
      <c r="I7" s="47">
        <f>SUM(K13:AP13)</f>
        <v>28</v>
      </c>
      <c r="J7" s="48">
        <f>C10+C11+C12</f>
        <v>35319.439999999995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85</v>
      </c>
    </row>
    <row r="8" ht="16" customHeight="1" spans="1:411" x14ac:dyDescent="0.25">
      <c r="A8" s="43"/>
      <c r="B8" s="75"/>
      <c r="C8" s="45"/>
      <c r="D8" s="46"/>
      <c r="E8" s="53" t="s">
        <v>60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85</v>
      </c>
    </row>
    <row r="9" ht="16" customHeight="1" spans="1:411" x14ac:dyDescent="0.25">
      <c r="A9" s="43"/>
      <c r="B9" s="75"/>
      <c r="C9" s="45"/>
      <c r="D9" s="46"/>
      <c r="E9" s="53" t="s">
        <v>61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85</v>
      </c>
    </row>
    <row r="10" ht="16" customHeight="1" spans="1:411" x14ac:dyDescent="0.25">
      <c r="A10" s="43"/>
      <c r="B10" s="76" t="s">
        <v>86</v>
      </c>
      <c r="C10" s="59">
        <f>F7*N(D10)</f>
        <v>20808.96</v>
      </c>
      <c r="D10" s="59">
        <f>IF(TRIM(IF(TRIM(B11)&lt;&gt;"",B11,B7))="","No rate",IFERROR(INDEX('Rate Tables'!C$7:C$161,MATCH(IF(TRIM(B11)&lt;&gt;"",B11,B7),'Rate Tables'!A$7:A$161,0)),"No rate"))</f>
        <v>108.38</v>
      </c>
      <c r="E10" s="53" t="s">
        <v>62</v>
      </c>
      <c r="F10" s="47"/>
      <c r="G10" s="47"/>
      <c r="H10" s="47"/>
      <c r="I10" s="47"/>
      <c r="J10" s="48"/>
      <c r="K10" s="60">
        <f>IF(AND(K8=1,K9=8,AND(IFERROR(INDEX('Job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hours")),8,MIN(IF(OR(K8&lt;=0,NOT(OR(AND(IFERROR(INDEX('Job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8"),FALSE))))),MIN(8,K9)*K8,K8*K9)))),MAX(0,40*MAX(1,K8)-(0))))</f>
        <v>8</v>
      </c>
      <c r="L10" s="61">
        <f>IF(AND(L8=1,L9=8,AND(IFERROR(INDEX('Job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hours")),8,MIN(IF(OR(L8&lt;=0,NOT(OR(AND(IFERROR(INDEX('Job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8"),FALSE))))),MIN(8,L9)*L8,L8*L9)))),MAX(0,40*MAX(1,L8)-(K10))))</f>
        <v>8</v>
      </c>
      <c r="M10" s="61">
        <f>IF(AND(M8=1,M9=8,AND(IFERROR(INDEX('Job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hours")),8,MIN(IF(OR(M8&lt;=0,NOT(OR(AND(IFERROR(INDEX('Job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8"),FALSE))))),MIN(8,M9)*M8,M8*M9)))),MAX(0,40*MAX(1,M8)-(K10+L10))))</f>
        <v>8</v>
      </c>
      <c r="N10" s="61">
        <f>IF(AND(N8=1,N9=8,AND(IFERROR(INDEX('Job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hours")),8,MIN(IF(OR(N8&lt;=0,NOT(OR(AND(IFERROR(INDEX('Job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8"),FALSE))))),MIN(8,N9)*N8,N8*N9)))),MAX(0,40*MAX(1,N8)-(K10+L10+M10))))</f>
        <v>8</v>
      </c>
      <c r="O10" s="61">
        <f>IF(AND(O8=1,O9=8,AND(IFERROR(INDEX('Job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hours")),8,MIN(IF(OR(O8&lt;=0,NOT(OR(AND(IFERROR(INDEX('Job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8"),FALSE))))),MIN(8,O9)*O8,O8*O9)))),MAX(0,40*MAX(1,O8)-(K10+L10+M10+N10))))</f>
        <v>8</v>
      </c>
      <c r="P10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8"),FALSE))))),MIN(8,P9)*P8,P8*P9)))),MAX(0,40*MAX(1,P8)-(0))))</f>
        <v>0</v>
      </c>
      <c r="Q10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8"),FALSE))))),MIN(8,Q9)*Q8,Q8*Q9)))),MAX(0,40*MAX(1,Q8)-(P10))))</f>
        <v>0</v>
      </c>
      <c r="R10" s="61">
        <f>IF(AND(R8=1,R9=8,AND(IFERROR(INDEX('Job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hours")),8,MIN(IF(OR(R8&lt;=0,NOT(OR(AND(IFERROR(INDEX('Job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8"),FALSE))))),MIN(8,R9)*R8,R8*R9)))),MAX(0,40*MAX(1,R8)-(0))))</f>
        <v>8</v>
      </c>
      <c r="S10" s="61">
        <f>IF(AND(S8=1,S9=8,AND(IFERROR(INDEX('Job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hours")),8,MIN(IF(OR(S8&lt;=0,NOT(OR(AND(IFERROR(INDEX('Job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8"),FALSE))))),MIN(8,S9)*S8,S8*S9)))),MAX(0,40*MAX(1,S8)-(R10))))</f>
        <v>8</v>
      </c>
      <c r="T10" s="61">
        <f>IF(AND(T8=1,T9=8,AND(IFERROR(INDEX('Job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hours")),8,MIN(IF(OR(T8&lt;=0,NOT(OR(AND(IFERROR(INDEX('Job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8"),FALSE))))),MIN(8,T9)*T8,T8*T9)))),MAX(0,40*MAX(1,T8)-(R10+S10))))</f>
        <v>8</v>
      </c>
      <c r="U10" s="61">
        <f>IF(AND(U8=1,U9=12,AND(IFERROR(INDEX('Job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setup'!I$7:I$11,0)),"")=0))),8,MIN(IF(OR(U8&lt;=0,NOT(OR(AND(IFERROR(INDEX('Job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8"),FALSE))))),MIN(8,U9)*U8,U8*U9)))),MAX(0,40*MAX(1,U8)-(0))))</f>
        <v>8</v>
      </c>
      <c r="V10" s="61">
        <f>IF(AND(V8=1,V9=12,AND(IFERROR(INDEX('Job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setup'!I$7:I$11,0)),"")=0))),8,MIN(IF(OR(V8&lt;=0,NOT(OR(AND(IFERROR(INDEX('Job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8"),FALSE))))),MIN(8,V9)*V8,V8*V9)))),MAX(0,40*MAX(1,V8)-(U10))))</f>
        <v>8</v>
      </c>
      <c r="W10" s="62">
        <f>IF(AND(W8=1,W9=12,AND(IFERROR(INDEX('Job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8"),FALSE))))),MIN(8,W9)*W8,W8*W9)))),MAX(0,40*MAX(1,W8)-(U10+V10))))</f>
        <v>0</v>
      </c>
      <c r="X10" s="62">
        <f>IF(AND(X8=1,X9=12,AND(IFERROR(INDEX('Job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8"),FALSE))))),MIN(8,X9)*X8,X8*X9)))),MAX(0,40*MAX(1,X8)-(U10+V10+W10))))</f>
        <v>0</v>
      </c>
      <c r="Y10" s="61">
        <f>IF(AND(Y8=1,Y9=12,AND(IFERROR(INDEX('Job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setup'!I$7:I$11,0)),"")=0))),8,MIN(IF(OR(Y8&lt;=0,NOT(OR(AND(IFERROR(INDEX('Job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8"),FALSE))))),MIN(8,Y9)*Y8,Y8*Y9)))),MAX(0,40*MAX(1,Y8)-(0))))</f>
        <v>8</v>
      </c>
      <c r="Z10" s="61">
        <f>IF(AND(Z8=1,Z9=12,AND(IFERROR(INDEX('Job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setup'!I$7:I$11,0)),"")=0))),8,MIN(IF(OR(Z8&lt;=0,NOT(OR(AND(IFERROR(INDEX('Job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8"),FALSE))))),MIN(8,Z9)*Z8,Z8*Z9)))),MAX(0,40*MAX(1,Z8)-(Y10))))</f>
        <v>8</v>
      </c>
      <c r="AA10" s="61">
        <f>IF(AND(AA8=1,AA9=12,AND(IFERROR(INDEX('Job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setup'!I$7:I$11,0)),"")=0))),8,MIN(IF(OR(AA8&lt;=0,NOT(OR(AND(IFERROR(INDEX('Job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8"),FALSE))))),MIN(8,AA9)*AA8,AA8*AA9)))),MAX(0,40*MAX(1,AA8)-(Y10+Z10))))</f>
        <v>8</v>
      </c>
      <c r="AB10" s="61">
        <f>IF(AND(AB8=1,AB9=12,AND(IFERROR(INDEX('Job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setup'!I$7:I$11,0)),"")=0))),8,MIN(IF(OR(AB8&lt;=0,NOT(OR(AND(IFERROR(INDEX('Job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8"),FALSE))))),MIN(8,AB9)*AB8,AB8*AB9)))),MAX(0,40*MAX(1,AB8)-(Y10+Z10+AA10))))</f>
        <v>8</v>
      </c>
      <c r="AC10" s="61">
        <f>IF(AND(AC8=1,AC9=12,AND(IFERROR(INDEX('Job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setup'!I$7:I$11,0)),"")=0))),8,MIN(IF(OR(AC8&lt;=0,NOT(OR(AND(IFERROR(INDEX('Job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8"),FALSE))))),MIN(8,AC9)*AC8,AC8*AC9)))),MAX(0,40*MAX(1,AC8)-(Y10+Z10+AA10+AB10))))</f>
        <v>8</v>
      </c>
      <c r="AD10" s="62">
        <f>IF(AND(AD8=1,AD9=12,AND(IFERROR(INDEX('Job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8"),FALSE))))),MIN(8,AD9)*AD8,AD8*AD9)))),MAX(0,40*MAX(1,AD8)-(Y10+Z10+AA10+AB10+AC10))))</f>
        <v>0</v>
      </c>
      <c r="AE10" s="62">
        <f>IF(AND(AE8=1,AE9=12,AND(IFERROR(INDEX('Job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8"),FALSE))))),MIN(8,AE9)*AE8,AE8*AE9)))),MAX(0,40*MAX(1,AE8)-(Y10+Z10+AA10+AB10+AC10+AD10))))</f>
        <v>0</v>
      </c>
      <c r="AF10" s="61">
        <f>IF(AND(AF8=1,AF9=12,AND(IFERROR(INDEX('Job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setup'!I$7:I$11,0)),"")=0))),8,MIN(IF(OR(AF8&lt;=0,NOT(OR(AND(IFERROR(INDEX('Job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8"),FALSE))))),MIN(8,AF9)*AF8,AF8*AF9)))),MAX(0,40*MAX(1,AF8)-(0))))</f>
        <v>8</v>
      </c>
      <c r="AG10" s="61">
        <f>IF(AND(AG8=1,AG9=12,AND(IFERROR(INDEX('Job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setup'!I$7:I$11,0)),"")=0))),8,MIN(IF(OR(AG8&lt;=0,NOT(OR(AND(IFERROR(INDEX('Job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8"),FALSE))))),MIN(8,AG9)*AG8,AG8*AG9)))),MAX(0,40*MAX(1,AG8)-(AF10))))</f>
        <v>8</v>
      </c>
      <c r="AH10" s="61">
        <f>IF(AND(AH8=1,AH9=12,AND(IFERROR(INDEX('Job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setup'!I$7:I$11,0)),"")=0))),8,MIN(IF(OR(AH8&lt;=0,NOT(OR(AND(IFERROR(INDEX('Job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8"),FALSE))))),MIN(8,AH9)*AH8,AH8*AH9)))),MAX(0,40*MAX(1,AH8)-(AF10+AG10))))</f>
        <v>8</v>
      </c>
      <c r="AI10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hours")),8,MIN(IF(OR(AI8&lt;=0,NOT(OR(AND(IFERROR(INDEX('Job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8"),FALSE))))),MIN(8,AI9)*AI8,AI8*AI9)))),MAX(0,40*MAX(1,AI8)-(0))))</f>
        <v>8</v>
      </c>
      <c r="AJ10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hours")),8,MIN(IF(OR(AJ8&lt;=0,NOT(OR(AND(IFERROR(INDEX('Job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8"),FALSE))))),MIN(8,AJ9)*AJ8,AJ8*AJ9)))),MAX(0,40*MAX(1,AJ8)-(AI10))))</f>
        <v>8</v>
      </c>
      <c r="AK10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8"),FALSE))))),MIN(8,AK9)*AK8,AK8*AK9)))),MAX(0,40*MAX(1,AK8)-(0))))</f>
        <v>0</v>
      </c>
      <c r="AL10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8"),FALSE))))),MIN(8,AL9)*AL8,AL8*AL9)))),MAX(0,40*MAX(1,AL8)-(AK10))))</f>
        <v>0</v>
      </c>
      <c r="AM10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hours")),8,MIN(IF(OR(AM8&lt;=0,NOT(OR(AND(IFERROR(INDEX('Job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8"),FALSE))))),MIN(8,AM9)*AM8,AM8*AM9)))),MAX(0,40*MAX(1,AM8)-(0))))</f>
        <v>8</v>
      </c>
      <c r="AN10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hours")),8,MIN(IF(OR(AN8&lt;=0,NOT(OR(AND(IFERROR(INDEX('Job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8"),FALSE))))),MIN(8,AN9)*AN8,AN8*AN9)))),MAX(0,40*MAX(1,AN8)-(AM10))))</f>
        <v>8</v>
      </c>
      <c r="AO10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hours")),8,MIN(IF(OR(AO8&lt;=0,NOT(OR(AND(IFERROR(INDEX('Job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8"),FALSE))))),MIN(8,AO9)*AO8,AO8*AO9)))),MAX(0,40*MAX(1,AO8)-(AM10+AN10))))</f>
        <v>8</v>
      </c>
      <c r="AP10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hours")),8,MIN(IF(OR(AP8&lt;=0,NOT(OR(AND(IFERROR(INDEX('Job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8"),FALSE))))),MIN(8,AP9)*AP8,AP8*AP9)))),MAX(0,40*MAX(1,AP8)-(AM10+AN10+AO10))))</f>
        <v>8</v>
      </c>
      <c r="OU10" s="28" t="s">
        <v>85</v>
      </c>
    </row>
    <row r="11" ht="16" customHeight="1" spans="1:411" x14ac:dyDescent="0.25">
      <c r="A11" s="43"/>
      <c r="B11" s="77" t="s">
        <v>87</v>
      </c>
      <c r="C11" s="64">
        <f>G7*N(D11)</f>
        <v>9777.92</v>
      </c>
      <c r="D11" s="64">
        <f>IF(TRIM(IF(TRIM(B11)&lt;&gt;"",B11,B7))="","No rate",IFERROR(INDEX('Rate Tables'!D$7:D$161,MATCH(IF(TRIM(B11)&lt;&gt;"",B11,B7),'Rate Tables'!A$7:A$161,0)),"No rate"))</f>
        <v>152.78</v>
      </c>
      <c r="E11" s="53" t="s">
        <v>63</v>
      </c>
      <c r="F11" s="47"/>
      <c r="G11" s="47"/>
      <c r="H11" s="47"/>
      <c r="I11" s="47"/>
      <c r="J11" s="48"/>
      <c r="K11" s="60">
        <f>IF(AND(K8=1,K9=8,AND(IFERROR(INDEX('Job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setup'!I$7:I$11,0)),"")&gt;=K$6)))),0,IF(WEEKDAY(K$6,1)=1,0,IF(WEEKDAY(K$6,1)=7,K8*K9,IF(IF(AND(IFERROR(INDEX('Job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8"),FALSE))))),MAX(0,K9-8)*K8,0))))+((IF(OR(K8&lt;=0,NOT(OR(AND(IFERROR(INDEX('Job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8"),FALSE))))),MIN(8,K9)*K8,K8*K9)))))-MIN(IF(OR(K8&lt;=0,NOT(OR(AND(IFERROR(INDEX('Job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8"),FALSE))))),MIN(8,K9)*K8,K8*K9)))),MAX(0,40*MAX(1,K8)-(0)))))</f>
        <v>0</v>
      </c>
      <c r="L11" s="61">
        <f>IF(AND(L8=1,L9=8,AND(IFERROR(INDEX('Job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setup'!I$7:I$11,0)),"")&gt;=L$6)))),0,IF(WEEKDAY(L$6,1)=1,0,IF(WEEKDAY(L$6,1)=7,L8*L9,IF(IF(AND(IFERROR(INDEX('Job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8"),FALSE))))),MAX(0,L9-8)*L8,0))))+((IF(OR(L8&lt;=0,NOT(OR(AND(IFERROR(INDEX('Job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8"),FALSE))))),MIN(8,L9)*L8,L8*L9)))))-MIN(IF(OR(L8&lt;=0,NOT(OR(AND(IFERROR(INDEX('Job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8"),FALSE))))),MIN(8,L9)*L8,L8*L9)))),MAX(0,40*MAX(1,L8)-(K10)))))</f>
        <v>0</v>
      </c>
      <c r="M11" s="61">
        <f>IF(AND(M8=1,M9=8,AND(IFERROR(INDEX('Job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setup'!I$7:I$11,0)),"")&gt;=M$6)))),0,IF(WEEKDAY(M$6,1)=1,0,IF(WEEKDAY(M$6,1)=7,M8*M9,IF(IF(AND(IFERROR(INDEX('Job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8"),FALSE))))),MAX(0,M9-8)*M8,0))))+((IF(OR(M8&lt;=0,NOT(OR(AND(IFERROR(INDEX('Job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8"),FALSE))))),MIN(8,M9)*M8,M8*M9)))))-MIN(IF(OR(M8&lt;=0,NOT(OR(AND(IFERROR(INDEX('Job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8"),FALSE))))),MIN(8,M9)*M8,M8*M9)))),MAX(0,40*MAX(1,M8)-(K10+L10)))))</f>
        <v>0</v>
      </c>
      <c r="N11" s="61">
        <f>IF(AND(N8=1,N9=8,AND(IFERROR(INDEX('Job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setup'!I$7:I$11,0)),"")&gt;=N$6)))),0,IF(WEEKDAY(N$6,1)=1,0,IF(WEEKDAY(N$6,1)=7,N8*N9,IF(IF(AND(IFERROR(INDEX('Job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8"),FALSE))))),MAX(0,N9-8)*N8,0))))+((IF(OR(N8&lt;=0,NOT(OR(AND(IFERROR(INDEX('Job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8"),FALSE))))),MIN(8,N9)*N8,N8*N9)))))-MIN(IF(OR(N8&lt;=0,NOT(OR(AND(IFERROR(INDEX('Job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8"),FALSE))))),MIN(8,N9)*N8,N8*N9)))),MAX(0,40*MAX(1,N8)-(K10+L10+M10)))))</f>
        <v>0</v>
      </c>
      <c r="O11" s="61">
        <f>IF(AND(O8=1,O9=8,AND(IFERROR(INDEX('Job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setup'!I$7:I$11,0)),"")&gt;=O$6)))),0,IF(WEEKDAY(O$6,1)=1,0,IF(WEEKDAY(O$6,1)=7,O8*O9,IF(IF(AND(IFERROR(INDEX('Job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8"),FALSE))))),MAX(0,O9-8)*O8,0))))+((IF(OR(O8&lt;=0,NOT(OR(AND(IFERROR(INDEX('Job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8"),FALSE))))),MIN(8,O9)*O8,O8*O9)))))-MIN(IF(OR(O8&lt;=0,NOT(OR(AND(IFERROR(INDEX('Job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8"),FALSE))))),MIN(8,O9)*O8,O8*O9)))),MAX(0,40*MAX(1,O8)-(K10+L10+M10+N10)))))</f>
        <v>0</v>
      </c>
      <c r="P11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setup'!I$7:I$11,0)),"")&gt;=P$6)))),0,IF(WEEKDAY(P$6,1)=1,0,IF(WEEKDAY(P$6,1)=7,P8*P9,IF(IF(AND(IFERROR(INDEX('Job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8"),FALSE))))),MAX(0,P9-8)*P8,0))))+((IF(OR(P8&lt;=0,NOT(OR(AND(IFERROR(INDEX('Job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8"),FALSE))))),MIN(8,P9)*P8,P8*P9)))))-MIN(IF(OR(P8&lt;=0,NOT(OR(AND(IFERROR(INDEX('Job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8"),FALSE))))),MIN(8,P9)*P8,P8*P9)))),MAX(0,40*MAX(1,P8)-(0)))))</f>
        <v>0</v>
      </c>
      <c r="Q11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setup'!I$7:I$11,0)),"")&gt;=Q$6)))),0,IF(WEEKDAY(Q$6,1)=1,0,IF(WEEKDAY(Q$6,1)=7,Q8*Q9,IF(IF(AND(IFERROR(INDEX('Job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8"),FALSE))))),MAX(0,Q9-8)*Q8,0))))+((IF(OR(Q8&lt;=0,NOT(OR(AND(IFERROR(INDEX('Job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8"),FALSE))))),MIN(8,Q9)*Q8,Q8*Q9)))))-MIN(IF(OR(Q8&lt;=0,NOT(OR(AND(IFERROR(INDEX('Job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8"),FALSE))))),MIN(8,Q9)*Q8,Q8*Q9)))),MAX(0,40*MAX(1,Q8)-(P10)))))</f>
        <v>0</v>
      </c>
      <c r="R11" s="61">
        <f>IF(AND(R8=1,R9=8,AND(IFERROR(INDEX('Job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setup'!I$7:I$11,0)),"")&gt;=R$6)))),0,IF(WEEKDAY(R$6,1)=1,0,IF(WEEKDAY(R$6,1)=7,R8*R9,IF(IF(AND(IFERROR(INDEX('Job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8"),FALSE))))),MAX(0,R9-8)*R8,0))))+((IF(OR(R8&lt;=0,NOT(OR(AND(IFERROR(INDEX('Job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8"),FALSE))))),MIN(8,R9)*R8,R8*R9)))))-MIN(IF(OR(R8&lt;=0,NOT(OR(AND(IFERROR(INDEX('Job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8"),FALSE))))),MIN(8,R9)*R8,R8*R9)))),MAX(0,40*MAX(1,R8)-(0)))))</f>
        <v>0</v>
      </c>
      <c r="S11" s="61">
        <f>IF(AND(S8=1,S9=8,AND(IFERROR(INDEX('Job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setup'!I$7:I$11,0)),"")&gt;=S$6)))),0,IF(WEEKDAY(S$6,1)=1,0,IF(WEEKDAY(S$6,1)=7,S8*S9,IF(IF(AND(IFERROR(INDEX('Job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8"),FALSE))))),MAX(0,S9-8)*S8,0))))+((IF(OR(S8&lt;=0,NOT(OR(AND(IFERROR(INDEX('Job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8"),FALSE))))),MIN(8,S9)*S8,S8*S9)))))-MIN(IF(OR(S8&lt;=0,NOT(OR(AND(IFERROR(INDEX('Job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8"),FALSE))))),MIN(8,S9)*S8,S8*S9)))),MAX(0,40*MAX(1,S8)-(R10)))))</f>
        <v>0</v>
      </c>
      <c r="T11" s="61">
        <f>IF(AND(T8=1,T9=8,AND(IFERROR(INDEX('Job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setup'!I$7:I$11,0)),"")&gt;=T$6)))),0,IF(WEEKDAY(T$6,1)=1,0,IF(WEEKDAY(T$6,1)=7,T8*T9,IF(IF(AND(IFERROR(INDEX('Job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8"),FALSE))))),MAX(0,T9-8)*T8,0))))+((IF(OR(T8&lt;=0,NOT(OR(AND(IFERROR(INDEX('Job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8"),FALSE))))),MIN(8,T9)*T8,T8*T9)))))-MIN(IF(OR(T8&lt;=0,NOT(OR(AND(IFERROR(INDEX('Job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8"),FALSE))))),MIN(8,T9)*T8,T8*T9)))),MAX(0,40*MAX(1,T8)-(R10+S10)))))</f>
        <v>0</v>
      </c>
      <c r="U11" s="61">
        <f>IF(AND(U8=1,U9=12,AND(IFERROR(INDEX('Job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setup'!I$7:I$11,0)),"")=0))),4,IF(OR(U8&lt;=0,NOT(OR(AND(IFERROR(INDEX('Job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setup'!I$7:I$11,0)),"")&gt;=U$6)))),0,IF(WEEKDAY(U$6,1)=1,0,IF(WEEKDAY(U$6,1)=7,U8*U9,IF(IF(AND(IFERROR(INDEX('Job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8"),FALSE))))),MAX(0,U9-8)*U8,0))))+((IF(OR(U8&lt;=0,NOT(OR(AND(IFERROR(INDEX('Job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8"),FALSE))))),MIN(8,U9)*U8,U8*U9)))))-MIN(IF(OR(U8&lt;=0,NOT(OR(AND(IFERROR(INDEX('Job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8"),FALSE))))),MIN(8,U9)*U8,U8*U9)))),MAX(0,40*MAX(1,U8)-(0)))))</f>
        <v>4</v>
      </c>
      <c r="V11" s="61">
        <f>IF(AND(V8=1,V9=12,AND(IFERROR(INDEX('Job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setup'!I$7:I$11,0)),"")=0))),4,IF(OR(V8&lt;=0,NOT(OR(AND(IFERROR(INDEX('Job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setup'!I$7:I$11,0)),"")&gt;=V$6)))),0,IF(WEEKDAY(V$6,1)=1,0,IF(WEEKDAY(V$6,1)=7,V8*V9,IF(IF(AND(IFERROR(INDEX('Job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8"),FALSE))))),MAX(0,V9-8)*V8,0))))+((IF(OR(V8&lt;=0,NOT(OR(AND(IFERROR(INDEX('Job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8"),FALSE))))),MIN(8,V9)*V8,V8*V9)))))-MIN(IF(OR(V8&lt;=0,NOT(OR(AND(IFERROR(INDEX('Job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8"),FALSE))))),MIN(8,V9)*V8,V8*V9)))),MAX(0,40*MAX(1,V8)-(U10)))))</f>
        <v>4</v>
      </c>
      <c r="W11" s="62">
        <f>IF(AND(W8=1,W9=12,AND(IFERROR(INDEX('Job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setup'!I$7:I$11,0)),"")=0))),12,IF(OR(W8&lt;=0,NOT(OR(AND(IFERROR(INDEX('Job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setup'!I$7:I$11,0)),"")&gt;=W$6)))),0,IF(WEEKDAY(W$6,1)=1,0,IF(WEEKDAY(W$6,1)=7,W8*W9,IF(IF(AND(IFERROR(INDEX('Job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8"),FALSE))))),MAX(0,W9-8)*W8,0))))+((IF(OR(W8&lt;=0,NOT(OR(AND(IFERROR(INDEX('Job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8"),FALSE))))),MIN(8,W9)*W8,W8*W9)))))-MIN(IF(OR(W8&lt;=0,NOT(OR(AND(IFERROR(INDEX('Job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8"),FALSE))))),MIN(8,W9)*W8,W8*W9)))),MAX(0,40*MAX(1,W8)-(U10+V10)))))</f>
        <v>12</v>
      </c>
      <c r="X11" s="62">
        <f>IF(AND(X8=1,X9=12,AND(IFERROR(INDEX('Job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setup'!I$7:I$11,0)),"")&gt;=X$6)))),0,IF(WEEKDAY(X$6,1)=1,0,IF(WEEKDAY(X$6,1)=7,X8*X9,IF(IF(AND(IFERROR(INDEX('Job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8"),FALSE))))),MAX(0,X9-8)*X8,0))))+((IF(OR(X8&lt;=0,NOT(OR(AND(IFERROR(INDEX('Job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8"),FALSE))))),MIN(8,X9)*X8,X8*X9)))))-MIN(IF(OR(X8&lt;=0,NOT(OR(AND(IFERROR(INDEX('Job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8"),FALSE))))),MIN(8,X9)*X8,X8*X9)))),MAX(0,40*MAX(1,X8)-(U10+V10+W10)))))</f>
        <v>0</v>
      </c>
      <c r="Y11" s="61">
        <f>IF(AND(Y8=1,Y9=12,AND(IFERROR(INDEX('Job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setup'!I$7:I$11,0)),"")=0))),4,IF(OR(Y8&lt;=0,NOT(OR(AND(IFERROR(INDEX('Job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setup'!I$7:I$11,0)),"")&gt;=Y$6)))),0,IF(WEEKDAY(Y$6,1)=1,0,IF(WEEKDAY(Y$6,1)=7,Y8*Y9,IF(IF(AND(IFERROR(INDEX('Job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8"),FALSE))))),MAX(0,Y9-8)*Y8,0))))+((IF(OR(Y8&lt;=0,NOT(OR(AND(IFERROR(INDEX('Job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8"),FALSE))))),MIN(8,Y9)*Y8,Y8*Y9)))))-MIN(IF(OR(Y8&lt;=0,NOT(OR(AND(IFERROR(INDEX('Job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8"),FALSE))))),MIN(8,Y9)*Y8,Y8*Y9)))),MAX(0,40*MAX(1,Y8)-(0)))))</f>
        <v>4</v>
      </c>
      <c r="Z11" s="61">
        <f>IF(AND(Z8=1,Z9=12,AND(IFERROR(INDEX('Job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setup'!I$7:I$11,0)),"")=0))),4,IF(OR(Z8&lt;=0,NOT(OR(AND(IFERROR(INDEX('Job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setup'!I$7:I$11,0)),"")&gt;=Z$6)))),0,IF(WEEKDAY(Z$6,1)=1,0,IF(WEEKDAY(Z$6,1)=7,Z8*Z9,IF(IF(AND(IFERROR(INDEX('Job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8"),FALSE))))),MAX(0,Z9-8)*Z8,0))))+((IF(OR(Z8&lt;=0,NOT(OR(AND(IFERROR(INDEX('Job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8"),FALSE))))),MIN(8,Z9)*Z8,Z8*Z9)))))-MIN(IF(OR(Z8&lt;=0,NOT(OR(AND(IFERROR(INDEX('Job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8"),FALSE))))),MIN(8,Z9)*Z8,Z8*Z9)))),MAX(0,40*MAX(1,Z8)-(Y10)))))</f>
        <v>4</v>
      </c>
      <c r="AA11" s="61">
        <f>IF(AND(AA8=1,AA9=12,AND(IFERROR(INDEX('Job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setup'!I$7:I$11,0)),"")=0))),4,IF(OR(AA8&lt;=0,NOT(OR(AND(IFERROR(INDEX('Job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setup'!I$7:I$11,0)),"")&gt;=AA$6)))),0,IF(WEEKDAY(AA$6,1)=1,0,IF(WEEKDAY(AA$6,1)=7,AA8*AA9,IF(IF(AND(IFERROR(INDEX('Job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8"),FALSE))))),MAX(0,AA9-8)*AA8,0))))+((IF(OR(AA8&lt;=0,NOT(OR(AND(IFERROR(INDEX('Job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8"),FALSE))))),MIN(8,AA9)*AA8,AA8*AA9)))))-MIN(IF(OR(AA8&lt;=0,NOT(OR(AND(IFERROR(INDEX('Job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8"),FALSE))))),MIN(8,AA9)*AA8,AA8*AA9)))),MAX(0,40*MAX(1,AA8)-(Y10+Z10)))))</f>
        <v>4</v>
      </c>
      <c r="AB11" s="61">
        <f>IF(AND(AB8=1,AB9=12,AND(IFERROR(INDEX('Job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setup'!I$7:I$11,0)),"")=0))),4,IF(OR(AB8&lt;=0,NOT(OR(AND(IFERROR(INDEX('Job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setup'!I$7:I$11,0)),"")&gt;=AB$6)))),0,IF(WEEKDAY(AB$6,1)=1,0,IF(WEEKDAY(AB$6,1)=7,AB8*AB9,IF(IF(AND(IFERROR(INDEX('Job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8"),FALSE))))),MAX(0,AB9-8)*AB8,0))))+((IF(OR(AB8&lt;=0,NOT(OR(AND(IFERROR(INDEX('Job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8"),FALSE))))),MIN(8,AB9)*AB8,AB8*AB9)))))-MIN(IF(OR(AB8&lt;=0,NOT(OR(AND(IFERROR(INDEX('Job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8"),FALSE))))),MIN(8,AB9)*AB8,AB8*AB9)))),MAX(0,40*MAX(1,AB8)-(Y10+Z10+AA10)))))</f>
        <v>4</v>
      </c>
      <c r="AC11" s="61">
        <f>IF(AND(AC8=1,AC9=12,AND(IFERROR(INDEX('Job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setup'!I$7:I$11,0)),"")=0))),4,IF(OR(AC8&lt;=0,NOT(OR(AND(IFERROR(INDEX('Job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setup'!I$7:I$11,0)),"")&gt;=AC$6)))),0,IF(WEEKDAY(AC$6,1)=1,0,IF(WEEKDAY(AC$6,1)=7,AC8*AC9,IF(IF(AND(IFERROR(INDEX('Job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8"),FALSE))))),MAX(0,AC9-8)*AC8,0))))+((IF(OR(AC8&lt;=0,NOT(OR(AND(IFERROR(INDEX('Job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8"),FALSE))))),MIN(8,AC9)*AC8,AC8*AC9)))))-MIN(IF(OR(AC8&lt;=0,NOT(OR(AND(IFERROR(INDEX('Job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8"),FALSE))))),MIN(8,AC9)*AC8,AC8*AC9)))),MAX(0,40*MAX(1,AC8)-(Y10+Z10+AA10+AB10)))))</f>
        <v>4</v>
      </c>
      <c r="AD11" s="62">
        <f>IF(AND(AD8=1,AD9=12,AND(IFERROR(INDEX('Job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setup'!I$7:I$11,0)),"")&gt;=AD$6)))),0,IF(WEEKDAY(AD$6,1)=1,0,IF(WEEKDAY(AD$6,1)=7,AD8*AD9,IF(IF(AND(IFERROR(INDEX('Job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8"),FALSE))))),MAX(0,AD9-8)*AD8,0))))+((IF(OR(AD8&lt;=0,NOT(OR(AND(IFERROR(INDEX('Job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8"),FALSE))))),MIN(8,AD9)*AD8,AD8*AD9)))))-MIN(IF(OR(AD8&lt;=0,NOT(OR(AND(IFERROR(INDEX('Job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8"),FALSE))))),MIN(8,AD9)*AD8,AD8*AD9)))),MAX(0,40*MAX(1,AD8)-(Y10+Z10+AA10+AB10+AC10)))))</f>
        <v>12</v>
      </c>
      <c r="AE11" s="62">
        <f>IF(AND(AE8=1,AE9=12,AND(IFERROR(INDEX('Job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setup'!I$7:I$11,0)),"")&gt;=AE$6)))),0,IF(WEEKDAY(AE$6,1)=1,0,IF(WEEKDAY(AE$6,1)=7,AE8*AE9,IF(IF(AND(IFERROR(INDEX('Job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8"),FALSE))))),MAX(0,AE9-8)*AE8,0))))+((IF(OR(AE8&lt;=0,NOT(OR(AND(IFERROR(INDEX('Job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8"),FALSE))))),MIN(8,AE9)*AE8,AE8*AE9)))))-MIN(IF(OR(AE8&lt;=0,NOT(OR(AND(IFERROR(INDEX('Job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8"),FALSE))))),MIN(8,AE9)*AE8,AE8*AE9)))),MAX(0,40*MAX(1,AE8)-(Y10+Z10+AA10+AB10+AC10+AD10)))))</f>
        <v>0</v>
      </c>
      <c r="AF11" s="61">
        <f>IF(AND(AF8=1,AF9=12,AND(IFERROR(INDEX('Job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setup'!I$7:I$11,0)),"")=0))),4,IF(OR(AF8&lt;=0,NOT(OR(AND(IFERROR(INDEX('Job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setup'!I$7:I$11,0)),"")&gt;=AF$6)))),0,IF(WEEKDAY(AF$6,1)=1,0,IF(WEEKDAY(AF$6,1)=7,AF8*AF9,IF(IF(AND(IFERROR(INDEX('Job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8"),FALSE))))),MAX(0,AF9-8)*AF8,0))))+((IF(OR(AF8&lt;=0,NOT(OR(AND(IFERROR(INDEX('Job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8"),FALSE))))),MIN(8,AF9)*AF8,AF8*AF9)))))-MIN(IF(OR(AF8&lt;=0,NOT(OR(AND(IFERROR(INDEX('Job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8"),FALSE))))),MIN(8,AF9)*AF8,AF8*AF9)))),MAX(0,40*MAX(1,AF8)-(0)))))</f>
        <v>4</v>
      </c>
      <c r="AG11" s="61">
        <f>IF(AND(AG8=1,AG9=12,AND(IFERROR(INDEX('Job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setup'!I$7:I$11,0)),"")=0))),4,IF(OR(AG8&lt;=0,NOT(OR(AND(IFERROR(INDEX('Job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setup'!I$7:I$11,0)),"")&gt;=AG$6)))),0,IF(WEEKDAY(AG$6,1)=1,0,IF(WEEKDAY(AG$6,1)=7,AG8*AG9,IF(IF(AND(IFERROR(INDEX('Job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8"),FALSE))))),MAX(0,AG9-8)*AG8,0))))+((IF(OR(AG8&lt;=0,NOT(OR(AND(IFERROR(INDEX('Job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8"),FALSE))))),MIN(8,AG9)*AG8,AG8*AG9)))))-MIN(IF(OR(AG8&lt;=0,NOT(OR(AND(IFERROR(INDEX('Job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8"),FALSE))))),MIN(8,AG9)*AG8,AG8*AG9)))),MAX(0,40*MAX(1,AG8)-(AF10)))))</f>
        <v>4</v>
      </c>
      <c r="AH11" s="61">
        <f>IF(AND(AH8=1,AH9=12,AND(IFERROR(INDEX('Job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setup'!I$7:I$11,0)),"")=0))),4,IF(OR(AH8&lt;=0,NOT(OR(AND(IFERROR(INDEX('Job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setup'!I$7:I$11,0)),"")&gt;=AH$6)))),0,IF(WEEKDAY(AH$6,1)=1,0,IF(WEEKDAY(AH$6,1)=7,AH8*AH9,IF(IF(AND(IFERROR(INDEX('Job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8"),FALSE))))),MAX(0,AH9-8)*AH8,0))))+((IF(OR(AH8&lt;=0,NOT(OR(AND(IFERROR(INDEX('Job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8"),FALSE))))),MIN(8,AH9)*AH8,AH8*AH9)))))-MIN(IF(OR(AH8&lt;=0,NOT(OR(AND(IFERROR(INDEX('Job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8"),FALSE))))),MIN(8,AH9)*AH8,AH8*AH9)))),MAX(0,40*MAX(1,AH8)-(AF10+AG10)))))</f>
        <v>4</v>
      </c>
      <c r="AI11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setup'!I$7:I$11,0)),"")&gt;=AI$6)))),0,IF(WEEKDAY(AI$6,1)=1,0,IF(WEEKDAY(AI$6,1)=7,AI8*AI9,IF(IF(AND(IFERROR(INDEX('Job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8"),FALSE))))),MAX(0,AI9-8)*AI8,0))))+((IF(OR(AI8&lt;=0,NOT(OR(AND(IFERROR(INDEX('Job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8"),FALSE))))),MIN(8,AI9)*AI8,AI8*AI9)))))-MIN(IF(OR(AI8&lt;=0,NOT(OR(AND(IFERROR(INDEX('Job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8"),FALSE))))),MIN(8,AI9)*AI8,AI8*AI9)))),MAX(0,40*MAX(1,AI8)-(0)))))</f>
        <v>0</v>
      </c>
      <c r="AJ11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setup'!I$7:I$11,0)),"")&gt;=AJ$6)))),0,IF(WEEKDAY(AJ$6,1)=1,0,IF(WEEKDAY(AJ$6,1)=7,AJ8*AJ9,IF(IF(AND(IFERROR(INDEX('Job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8"),FALSE))))),MAX(0,AJ9-8)*AJ8,0))))+((IF(OR(AJ8&lt;=0,NOT(OR(AND(IFERROR(INDEX('Job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8"),FALSE))))),MIN(8,AJ9)*AJ8,AJ8*AJ9)))))-MIN(IF(OR(AJ8&lt;=0,NOT(OR(AND(IFERROR(INDEX('Job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8"),FALSE))))),MIN(8,AJ9)*AJ8,AJ8*AJ9)))),MAX(0,40*MAX(1,AJ8)-(AI10)))))</f>
        <v>0</v>
      </c>
      <c r="AK11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setup'!I$7:I$11,0)),"")&gt;=AK$6)))),0,IF(WEEKDAY(AK$6,1)=1,0,IF(WEEKDAY(AK$6,1)=7,AK8*AK9,IF(IF(AND(IFERROR(INDEX('Job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8"),FALSE))))),MAX(0,AK9-8)*AK8,0))))+((IF(OR(AK8&lt;=0,NOT(OR(AND(IFERROR(INDEX('Job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8"),FALSE))))),MIN(8,AK9)*AK8,AK8*AK9)))))-MIN(IF(OR(AK8&lt;=0,NOT(OR(AND(IFERROR(INDEX('Job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8"),FALSE))))),MIN(8,AK9)*AK8,AK8*AK9)))),MAX(0,40*MAX(1,AK8)-(0)))))</f>
        <v>0</v>
      </c>
      <c r="AL11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setup'!I$7:I$11,0)),"")&gt;=AL$6)))),0,IF(WEEKDAY(AL$6,1)=1,0,IF(WEEKDAY(AL$6,1)=7,AL8*AL9,IF(IF(AND(IFERROR(INDEX('Job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8"),FALSE))))),MAX(0,AL9-8)*AL8,0))))+((IF(OR(AL8&lt;=0,NOT(OR(AND(IFERROR(INDEX('Job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8"),FALSE))))),MIN(8,AL9)*AL8,AL8*AL9)))))-MIN(IF(OR(AL8&lt;=0,NOT(OR(AND(IFERROR(INDEX('Job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8"),FALSE))))),MIN(8,AL9)*AL8,AL8*AL9)))),MAX(0,40*MAX(1,AL8)-(AK10)))))</f>
        <v>0</v>
      </c>
      <c r="AM11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setup'!I$7:I$11,0)),"")&gt;=AM$6)))),0,IF(WEEKDAY(AM$6,1)=1,0,IF(WEEKDAY(AM$6,1)=7,AM8*AM9,IF(IF(AND(IFERROR(INDEX('Job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8"),FALSE))))),MAX(0,AM9-8)*AM8,0))))+((IF(OR(AM8&lt;=0,NOT(OR(AND(IFERROR(INDEX('Job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8"),FALSE))))),MIN(8,AM9)*AM8,AM8*AM9)))))-MIN(IF(OR(AM8&lt;=0,NOT(OR(AND(IFERROR(INDEX('Job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8"),FALSE))))),MIN(8,AM9)*AM8,AM8*AM9)))),MAX(0,40*MAX(1,AM8)-(0)))))</f>
        <v>0</v>
      </c>
      <c r="AN11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setup'!I$7:I$11,0)),"")&gt;=AN$6)))),0,IF(WEEKDAY(AN$6,1)=1,0,IF(WEEKDAY(AN$6,1)=7,AN8*AN9,IF(IF(AND(IFERROR(INDEX('Job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8"),FALSE))))),MAX(0,AN9-8)*AN8,0))))+((IF(OR(AN8&lt;=0,NOT(OR(AND(IFERROR(INDEX('Job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8"),FALSE))))),MIN(8,AN9)*AN8,AN8*AN9)))))-MIN(IF(OR(AN8&lt;=0,NOT(OR(AND(IFERROR(INDEX('Job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8"),FALSE))))),MIN(8,AN9)*AN8,AN8*AN9)))),MAX(0,40*MAX(1,AN8)-(AM10)))))</f>
        <v>0</v>
      </c>
      <c r="AO11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setup'!I$7:I$11,0)),"")&gt;=AO$6)))),0,IF(WEEKDAY(AO$6,1)=1,0,IF(WEEKDAY(AO$6,1)=7,AO8*AO9,IF(IF(AND(IFERROR(INDEX('Job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8"),FALSE))))),MAX(0,AO9-8)*AO8,0))))+((IF(OR(AO8&lt;=0,NOT(OR(AND(IFERROR(INDEX('Job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8"),FALSE))))),MIN(8,AO9)*AO8,AO8*AO9)))))-MIN(IF(OR(AO8&lt;=0,NOT(OR(AND(IFERROR(INDEX('Job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8"),FALSE))))),MIN(8,AO9)*AO8,AO8*AO9)))),MAX(0,40*MAX(1,AO8)-(AM10+AN10)))))</f>
        <v>0</v>
      </c>
      <c r="AP11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setup'!I$7:I$11,0)),"")&gt;=AP$6)))),0,IF(WEEKDAY(AP$6,1)=1,0,IF(WEEKDAY(AP$6,1)=7,AP8*AP9,IF(IF(AND(IFERROR(INDEX('Job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8"),FALSE))))),MAX(0,AP9-8)*AP8,0))))+((IF(OR(AP8&lt;=0,NOT(OR(AND(IFERROR(INDEX('Job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8"),FALSE))))),MIN(8,AP9)*AP8,AP8*AP9)))))-MIN(IF(OR(AP8&lt;=0,NOT(OR(AND(IFERROR(INDEX('Job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8"),FALSE))))),MIN(8,AP9)*AP8,AP8*AP9)))),MAX(0,40*MAX(1,AP8)-(AM10+AN10+AO10)))))</f>
        <v>0</v>
      </c>
      <c r="OU11" s="28" t="s">
        <v>85</v>
      </c>
    </row>
    <row r="12" ht="16" customHeight="1" spans="1:411" x14ac:dyDescent="0.25">
      <c r="A12" s="43"/>
      <c r="B12" s="77"/>
      <c r="C12" s="59">
        <f>H7*N(D12)</f>
        <v>4732.5599999999995</v>
      </c>
      <c r="D12" s="59">
        <f>IF(TRIM(IF(TRIM(B11)&lt;&gt;"",B11,B7))="","No rate",IFERROR(INDEX('Rate Tables'!E$7:E$161,MATCH(IF(TRIM(B11)&lt;&gt;"",B11,B7),'Rate Tables'!A$7:A$161,0)),"No rate"))</f>
        <v>197.19</v>
      </c>
      <c r="E12" s="53" t="s">
        <v>64</v>
      </c>
      <c r="F12" s="47"/>
      <c r="G12" s="47"/>
      <c r="H12" s="47"/>
      <c r="I12" s="47"/>
      <c r="J12" s="48"/>
      <c r="K12" s="60">
        <f>IF(AND(K8=1,K9=8,AND(IFERROR(INDEX('Job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hours")),0,IF(OR(K8&lt;=0,NOT(OR(AND(IFERROR(INDEX('Job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setup'!I$7:I$11,0)),"")&gt;=K$6)))),0,IF(WEEKDAY(K$6,1)=1,K8*K9,0)))</f>
        <v>0</v>
      </c>
      <c r="L12" s="61">
        <f>IF(AND(L8=1,L9=8,AND(IFERROR(INDEX('Job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hours")),0,IF(OR(L8&lt;=0,NOT(OR(AND(IFERROR(INDEX('Job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setup'!I$7:I$11,0)),"")&gt;=L$6)))),0,IF(WEEKDAY(L$6,1)=1,L8*L9,0)))</f>
        <v>0</v>
      </c>
      <c r="M12" s="61">
        <f>IF(AND(M8=1,M9=8,AND(IFERROR(INDEX('Job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hours")),0,IF(OR(M8&lt;=0,NOT(OR(AND(IFERROR(INDEX('Job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setup'!I$7:I$11,0)),"")&gt;=M$6)))),0,IF(WEEKDAY(M$6,1)=1,M8*M9,0)))</f>
        <v>0</v>
      </c>
      <c r="N12" s="61">
        <f>IF(AND(N8=1,N9=8,AND(IFERROR(INDEX('Job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hours")),0,IF(OR(N8&lt;=0,NOT(OR(AND(IFERROR(INDEX('Job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setup'!I$7:I$11,0)),"")&gt;=N$6)))),0,IF(WEEKDAY(N$6,1)=1,N8*N9,0)))</f>
        <v>0</v>
      </c>
      <c r="O12" s="61">
        <f>IF(AND(O8=1,O9=8,AND(IFERROR(INDEX('Job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hours")),0,IF(OR(O8&lt;=0,NOT(OR(AND(IFERROR(INDEX('Job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setup'!I$7:I$11,0)),"")&gt;=O$6)))),0,IF(WEEKDAY(O$6,1)=1,O8*O9,0)))</f>
        <v>0</v>
      </c>
      <c r="P12" s="62">
        <f>IF(AND(P8=0,P9=0,AND(IFERROR(INDEX('Job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hours")),0,IF(OR(P8&lt;=0,NOT(OR(AND(IFERROR(INDEX('Job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setup'!I$7:I$11,0)),"")&gt;=P$6)))),0,IF(WEEKDAY(P$6,1)=1,P8*P9,0)))</f>
        <v>0</v>
      </c>
      <c r="Q12" s="62">
        <f>IF(AND(Q8=0,Q9=0,AND(IFERROR(INDEX('Job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hours")),0,IF(OR(Q8&lt;=0,NOT(OR(AND(IFERROR(INDEX('Job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setup'!I$7:I$11,0)),"")&gt;=Q$6)))),0,IF(WEEKDAY(Q$6,1)=1,Q8*Q9,0)))</f>
        <v>0</v>
      </c>
      <c r="R12" s="61">
        <f>IF(AND(R8=1,R9=8,AND(IFERROR(INDEX('Job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hours")),0,IF(OR(R8&lt;=0,NOT(OR(AND(IFERROR(INDEX('Job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setup'!I$7:I$11,0)),"")&gt;=R$6)))),0,IF(WEEKDAY(R$6,1)=1,R8*R9,0)))</f>
        <v>0</v>
      </c>
      <c r="S12" s="61">
        <f>IF(AND(S8=1,S9=8,AND(IFERROR(INDEX('Job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hours")),0,IF(OR(S8&lt;=0,NOT(OR(AND(IFERROR(INDEX('Job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setup'!I$7:I$11,0)),"")&gt;=S$6)))),0,IF(WEEKDAY(S$6,1)=1,S8*S9,0)))</f>
        <v>0</v>
      </c>
      <c r="T12" s="61">
        <f>IF(AND(T8=1,T9=8,AND(IFERROR(INDEX('Job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hours")),0,IF(OR(T8&lt;=0,NOT(OR(AND(IFERROR(INDEX('Job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setup'!I$7:I$11,0)),"")&gt;=T$6)))),0,IF(WEEKDAY(T$6,1)=1,T8*T9,0)))</f>
        <v>0</v>
      </c>
      <c r="U12" s="61">
        <f>IF(AND(U8=1,U9=12,AND(IFERROR(INDEX('Job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setup'!I$7:I$11,0)),"")=0))),0,IF(OR(U8&lt;=0,NOT(OR(AND(IFERROR(INDEX('Job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setup'!I$7:I$11,0)),"")&gt;=U$6)))),0,IF(WEEKDAY(U$6,1)=1,U8*U9,0)))</f>
        <v>0</v>
      </c>
      <c r="V12" s="61">
        <f>IF(AND(V8=1,V9=12,AND(IFERROR(INDEX('Job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setup'!I$7:I$11,0)),"")=0))),0,IF(OR(V8&lt;=0,NOT(OR(AND(IFERROR(INDEX('Job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setup'!I$7:I$11,0)),"")&gt;=V$6)))),0,IF(WEEKDAY(V$6,1)=1,V8*V9,0)))</f>
        <v>0</v>
      </c>
      <c r="W12" s="62">
        <f>IF(AND(W8=1,W9=12,AND(IFERROR(INDEX('Job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setup'!I$7:I$11,0)),"")=0))),0,IF(OR(W8&lt;=0,NOT(OR(AND(IFERROR(INDEX('Job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setup'!I$7:I$11,0)),"")&gt;=W$6)))),0,IF(WEEKDAY(W$6,1)=1,W8*W9,0)))</f>
        <v>0</v>
      </c>
      <c r="X12" s="62">
        <f>IF(AND(X8=1,X9=12,AND(IFERROR(INDEX('Job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setup'!I$7:I$11,0)),"")=0))),12,IF(OR(X8&lt;=0,NOT(OR(AND(IFERROR(INDEX('Job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setup'!I$7:I$11,0)),"")&gt;=X$6)))),0,IF(WEEKDAY(X$6,1)=1,X8*X9,0)))</f>
        <v>12</v>
      </c>
      <c r="Y12" s="61">
        <f>IF(AND(Y8=1,Y9=12,AND(IFERROR(INDEX('Job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setup'!I$7:I$11,0)),"")=0))),0,IF(OR(Y8&lt;=0,NOT(OR(AND(IFERROR(INDEX('Job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setup'!I$7:I$11,0)),"")&gt;=Y$6)))),0,IF(WEEKDAY(Y$6,1)=1,Y8*Y9,0)))</f>
        <v>0</v>
      </c>
      <c r="Z12" s="61">
        <f>IF(AND(Z8=1,Z9=12,AND(IFERROR(INDEX('Job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setup'!I$7:I$11,0)),"")=0))),0,IF(OR(Z8&lt;=0,NOT(OR(AND(IFERROR(INDEX('Job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setup'!I$7:I$11,0)),"")&gt;=Z$6)))),0,IF(WEEKDAY(Z$6,1)=1,Z8*Z9,0)))</f>
        <v>0</v>
      </c>
      <c r="AA12" s="61">
        <f>IF(AND(AA8=1,AA9=12,AND(IFERROR(INDEX('Job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setup'!I$7:I$11,0)),"")=0))),0,IF(OR(AA8&lt;=0,NOT(OR(AND(IFERROR(INDEX('Job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setup'!I$7:I$11,0)),"")&gt;=AA$6)))),0,IF(WEEKDAY(AA$6,1)=1,AA8*AA9,0)))</f>
        <v>0</v>
      </c>
      <c r="AB12" s="61">
        <f>IF(AND(AB8=1,AB9=12,AND(IFERROR(INDEX('Job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setup'!I$7:I$11,0)),"")=0))),0,IF(OR(AB8&lt;=0,NOT(OR(AND(IFERROR(INDEX('Job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setup'!I$7:I$11,0)),"")&gt;=AB$6)))),0,IF(WEEKDAY(AB$6,1)=1,AB8*AB9,0)))</f>
        <v>0</v>
      </c>
      <c r="AC12" s="61">
        <f>IF(AND(AC8=1,AC9=12,AND(IFERROR(INDEX('Job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setup'!I$7:I$11,0)),"")=0))),0,IF(OR(AC8&lt;=0,NOT(OR(AND(IFERROR(INDEX('Job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setup'!I$7:I$11,0)),"")&gt;=AC$6)))),0,IF(WEEKDAY(AC$6,1)=1,AC8*AC9,0)))</f>
        <v>0</v>
      </c>
      <c r="AD12" s="62">
        <f>IF(AND(AD8=1,AD9=12,AND(IFERROR(INDEX('Job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setup'!I$7:I$11,0)),"")=0))),0,IF(OR(AD8&lt;=0,NOT(OR(AND(IFERROR(INDEX('Job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setup'!I$7:I$11,0)),"")&gt;=AD$6)))),0,IF(WEEKDAY(AD$6,1)=1,AD8*AD9,0)))</f>
        <v>0</v>
      </c>
      <c r="AE12" s="62">
        <f>IF(AND(AE8=1,AE9=12,AND(IFERROR(INDEX('Job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setup'!I$7:I$11,0)),"")=0))),12,IF(OR(AE8&lt;=0,NOT(OR(AND(IFERROR(INDEX('Job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setup'!I$7:I$11,0)),"")&gt;=AE$6)))),0,IF(WEEKDAY(AE$6,1)=1,AE8*AE9,0)))</f>
        <v>12</v>
      </c>
      <c r="AF12" s="61">
        <f>IF(AND(AF8=1,AF9=12,AND(IFERROR(INDEX('Job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setup'!I$7:I$11,0)),"")=0))),0,IF(OR(AF8&lt;=0,NOT(OR(AND(IFERROR(INDEX('Job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setup'!I$7:I$11,0)),"")&gt;=AF$6)))),0,IF(WEEKDAY(AF$6,1)=1,AF8*AF9,0)))</f>
        <v>0</v>
      </c>
      <c r="AG12" s="61">
        <f>IF(AND(AG8=1,AG9=12,AND(IFERROR(INDEX('Job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setup'!I$7:I$11,0)),"")=0))),0,IF(OR(AG8&lt;=0,NOT(OR(AND(IFERROR(INDEX('Job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setup'!I$7:I$11,0)),"")&gt;=AG$6)))),0,IF(WEEKDAY(AG$6,1)=1,AG8*AG9,0)))</f>
        <v>0</v>
      </c>
      <c r="AH12" s="61">
        <f>IF(AND(AH8=1,AH9=12,AND(IFERROR(INDEX('Job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setup'!I$7:I$11,0)),"")=0))),0,IF(OR(AH8&lt;=0,NOT(OR(AND(IFERROR(INDEX('Job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setup'!I$7:I$11,0)),"")&gt;=AH$6)))),0,IF(WEEKDAY(AH$6,1)=1,AH8*AH9,0)))</f>
        <v>0</v>
      </c>
      <c r="AI12" s="61">
        <f>IF(AND(AI8=1,AI9=8,AND(IFERROR(INDEX('Job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hours")),0,IF(OR(AI8&lt;=0,NOT(OR(AND(IFERROR(INDEX('Job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setup'!I$7:I$11,0)),"")&gt;=AI$6)))),0,IF(WEEKDAY(AI$6,1)=1,AI8*AI9,0)))</f>
        <v>0</v>
      </c>
      <c r="AJ12" s="61">
        <f>IF(AND(AJ8=1,AJ9=8,AND(IFERROR(INDEX('Job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hours")),0,IF(OR(AJ8&lt;=0,NOT(OR(AND(IFERROR(INDEX('Job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setup'!I$7:I$11,0)),"")&gt;=AJ$6)))),0,IF(WEEKDAY(AJ$6,1)=1,AJ8*AJ9,0)))</f>
        <v>0</v>
      </c>
      <c r="AK12" s="62">
        <f>IF(AND(AK8=0,AK9=0,AND(IFERROR(INDEX('Job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hours")),0,IF(OR(AK8&lt;=0,NOT(OR(AND(IFERROR(INDEX('Job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setup'!I$7:I$11,0)),"")&gt;=AK$6)))),0,IF(WEEKDAY(AK$6,1)=1,AK8*AK9,0)))</f>
        <v>0</v>
      </c>
      <c r="AL12" s="62">
        <f>IF(AND(AL8=0,AL9=0,AND(IFERROR(INDEX('Job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hours")),0,IF(OR(AL8&lt;=0,NOT(OR(AND(IFERROR(INDEX('Job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setup'!I$7:I$11,0)),"")&gt;=AL$6)))),0,IF(WEEKDAY(AL$6,1)=1,AL8*AL9,0)))</f>
        <v>0</v>
      </c>
      <c r="AM12" s="61">
        <f>IF(AND(AM8=1,AM9=8,AND(IFERROR(INDEX('Job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hours")),0,IF(OR(AM8&lt;=0,NOT(OR(AND(IFERROR(INDEX('Job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setup'!I$7:I$11,0)),"")&gt;=AM$6)))),0,IF(WEEKDAY(AM$6,1)=1,AM8*AM9,0)))</f>
        <v>0</v>
      </c>
      <c r="AN12" s="61">
        <f>IF(AND(AN8=1,AN9=8,AND(IFERROR(INDEX('Job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hours")),0,IF(OR(AN8&lt;=0,NOT(OR(AND(IFERROR(INDEX('Job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setup'!I$7:I$11,0)),"")&gt;=AN$6)))),0,IF(WEEKDAY(AN$6,1)=1,AN8*AN9,0)))</f>
        <v>0</v>
      </c>
      <c r="AO12" s="61">
        <f>IF(AND(AO8=1,AO9=8,AND(IFERROR(INDEX('Job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hours")),0,IF(OR(AO8&lt;=0,NOT(OR(AND(IFERROR(INDEX('Job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setup'!I$7:I$11,0)),"")&gt;=AO$6)))),0,IF(WEEKDAY(AO$6,1)=1,AO8*AO9,0)))</f>
        <v>0</v>
      </c>
      <c r="AP12" s="63">
        <f>IF(AND(AP8=1,AP9=8,AND(IFERROR(INDEX('Job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hours")),0,IF(OR(AP8&lt;=0,NOT(OR(AND(IFERROR(INDEX('Job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setup'!I$7:I$11,0)),"")&gt;=AP$6)))),0,IF(WEEKDAY(AP$6,1)=1,AP8*AP9,0)))</f>
        <v>0</v>
      </c>
      <c r="OU12" s="28" t="s">
        <v>85</v>
      </c>
    </row>
    <row r="13" ht="16" customHeight="1" spans="1:411" x14ac:dyDescent="0.25">
      <c r="A13" s="43"/>
      <c r="B13" s="77"/>
      <c r="C13" s="65">
        <f>I7*D13</f>
        <v>3640</v>
      </c>
      <c r="D13" s="65">
        <v>130</v>
      </c>
      <c r="E13" s="66" t="s">
        <v>65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85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66</v>
      </c>
      <c r="B15" s="75" t="s">
        <v>84</v>
      </c>
      <c r="C15" s="45">
        <f>J15</f>
        <v>23180.879999999997</v>
      </c>
      <c r="D15" s="46"/>
      <c r="E15" s="46"/>
      <c r="F15" s="47">
        <f>SUM(K18:AP18)</f>
        <v>80</v>
      </c>
      <c r="G15" s="47">
        <f>SUM(K19:AP19)</f>
        <v>64</v>
      </c>
      <c r="H15" s="47">
        <f>SUM(K20:AP20)</f>
        <v>24</v>
      </c>
      <c r="I15" s="47">
        <f>SUM(K21:AP21)</f>
        <v>14</v>
      </c>
      <c r="J15" s="48">
        <f>C18+C19+C20</f>
        <v>23180.879999999997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88</v>
      </c>
    </row>
    <row r="16" ht="16" customHeight="1" spans="1:411" x14ac:dyDescent="0.25">
      <c r="A16" s="72"/>
      <c r="B16" s="75"/>
      <c r="C16" s="45"/>
      <c r="D16" s="46"/>
      <c r="E16" s="53" t="s">
        <v>60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88</v>
      </c>
    </row>
    <row r="17" ht="16" customHeight="1" spans="1:411" x14ac:dyDescent="0.25">
      <c r="A17" s="72"/>
      <c r="B17" s="75"/>
      <c r="C17" s="45"/>
      <c r="D17" s="46"/>
      <c r="E17" s="53" t="s">
        <v>61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88</v>
      </c>
    </row>
    <row r="18" ht="16" customHeight="1" spans="1:411" x14ac:dyDescent="0.25">
      <c r="A18" s="72"/>
      <c r="B18" s="76" t="s">
        <v>86</v>
      </c>
      <c r="C18" s="59">
        <f>F15*N(D18)</f>
        <v>8670.4</v>
      </c>
      <c r="D18" s="59">
        <f>IF(TRIM(IF(TRIM(B19)&lt;&gt;"",B19,B15))="","No rate",IFERROR(INDEX('Rate Tables'!C$7:C$161,MATCH(IF(TRIM(B19)&lt;&gt;"",B19,B15),'Rate Tables'!A$7:A$161,0)),"No rate"))</f>
        <v>108.38</v>
      </c>
      <c r="E18" s="53" t="s">
        <v>62</v>
      </c>
      <c r="F18" s="47"/>
      <c r="G18" s="47"/>
      <c r="H18" s="47"/>
      <c r="I18" s="47"/>
      <c r="J18" s="48"/>
      <c r="K18" s="60">
        <f>IF(AND(K16=0,K17=0,AND(IFERROR(INDEX('Job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8"),FALSE))))),MIN(8,K17)*K16,K16*K17)))),MAX(0,40*MAX(1,K16)-(0))))</f>
        <v>0</v>
      </c>
      <c r="L18" s="61">
        <f>IF(AND(L16=0,L17=0,AND(IFERROR(INDEX('Job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8"),FALSE))))),MIN(8,L17)*L16,L16*L17)))),MAX(0,40*MAX(1,L16)-(K18))))</f>
        <v>0</v>
      </c>
      <c r="M18" s="61">
        <f>IF(AND(M16=0,M17=0,AND(IFERROR(INDEX('Job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8"),FALSE))))),MIN(8,M17)*M16,M16*M17)))),MAX(0,40*MAX(1,M16)-(K18+L18))))</f>
        <v>0</v>
      </c>
      <c r="N18" s="61">
        <f>IF(AND(N16=0,N17=0,AND(IFERROR(INDEX('Job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8"),FALSE))))),MIN(8,N17)*N16,N16*N17)))),MAX(0,40*MAX(1,N16)-(K18+L18+M18))))</f>
        <v>0</v>
      </c>
      <c r="O18" s="61">
        <f>IF(AND(O16=0,O17=0,AND(IFERROR(INDEX('Job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8"),FALSE))))),MIN(8,O17)*O16,O16*O17)))),MAX(0,40*MAX(1,O16)-(K18+L18+M18+N18))))</f>
        <v>0</v>
      </c>
      <c r="P18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8"),FALSE))))),MIN(8,P17)*P16,P16*P17)))),MAX(0,40*MAX(1,P16)-(K18+L18+M18+N18+O18))))</f>
        <v>0</v>
      </c>
      <c r="Q18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8"),FALSE))))),MIN(8,Q17)*Q16,Q16*Q17)))),MAX(0,40*MAX(1,Q16)-(K18+L18+M18+N18+O18+P18))))</f>
        <v>0</v>
      </c>
      <c r="R18" s="61">
        <f>IF(AND(R16=0,R17=0,AND(IFERROR(INDEX('Job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8"),FALSE))))),MIN(8,R17)*R16,R16*R17)))),MAX(0,40*MAX(1,R16)-(0))))</f>
        <v>0</v>
      </c>
      <c r="S18" s="61">
        <f>IF(AND(S16=0,S17=0,AND(IFERROR(INDEX('Job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8"),FALSE))))),MIN(8,S17)*S16,S16*S17)))),MAX(0,40*MAX(1,S16)-(R18))))</f>
        <v>0</v>
      </c>
      <c r="T18" s="61">
        <f>IF(AND(T16=0,T17=0,AND(IFERROR(INDEX('Job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8"),FALSE))))),MIN(8,T17)*T16,T16*T17)))),MAX(0,40*MAX(1,T16)-(R18+S18))))</f>
        <v>0</v>
      </c>
      <c r="U18" s="61">
        <f>IF(AND(U16=1,U17=12,AND(IFERROR(INDEX('Job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setup'!I$7:I$11,0)),"")=0))),8,MIN(IF(OR(U16&lt;=0,NOT(OR(AND(IFERROR(INDEX('Job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8"),FALSE))))),MIN(8,U17)*U16,U16*U17)))),MAX(0,40*MAX(1,U16)-(0))))</f>
        <v>8</v>
      </c>
      <c r="V18" s="61">
        <f>IF(AND(V16=1,V17=12,AND(IFERROR(INDEX('Job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setup'!I$7:I$11,0)),"")=0))),8,MIN(IF(OR(V16&lt;=0,NOT(OR(AND(IFERROR(INDEX('Job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8"),FALSE))))),MIN(8,V17)*V16,V16*V17)))),MAX(0,40*MAX(1,V16)-(U18))))</f>
        <v>8</v>
      </c>
      <c r="W18" s="62">
        <f>IF(AND(W16=1,W17=12,AND(IFERROR(INDEX('Job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8"),FALSE))))),MIN(8,W17)*W16,W16*W17)))),MAX(0,40*MAX(1,W16)-(U18+V18))))</f>
        <v>0</v>
      </c>
      <c r="X18" s="62">
        <f>IF(AND(X16=1,X17=12,AND(IFERROR(INDEX('Job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8"),FALSE))))),MIN(8,X17)*X16,X16*X17)))),MAX(0,40*MAX(1,X16)-(U18+V18+W18))))</f>
        <v>0</v>
      </c>
      <c r="Y18" s="61">
        <f>IF(AND(Y16=1,Y17=12,AND(IFERROR(INDEX('Job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setup'!I$7:I$11,0)),"")=0))),8,MIN(IF(OR(Y16&lt;=0,NOT(OR(AND(IFERROR(INDEX('Job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8"),FALSE))))),MIN(8,Y17)*Y16,Y16*Y17)))),MAX(0,40*MAX(1,Y16)-(0))))</f>
        <v>8</v>
      </c>
      <c r="Z18" s="61">
        <f>IF(AND(Z16=1,Z17=12,AND(IFERROR(INDEX('Job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setup'!I$7:I$11,0)),"")=0))),8,MIN(IF(OR(Z16&lt;=0,NOT(OR(AND(IFERROR(INDEX('Job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8"),FALSE))))),MIN(8,Z17)*Z16,Z16*Z17)))),MAX(0,40*MAX(1,Z16)-(Y18))))</f>
        <v>8</v>
      </c>
      <c r="AA18" s="61">
        <f>IF(AND(AA16=1,AA17=12,AND(IFERROR(INDEX('Job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setup'!I$7:I$11,0)),"")=0))),8,MIN(IF(OR(AA16&lt;=0,NOT(OR(AND(IFERROR(INDEX('Job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8"),FALSE))))),MIN(8,AA17)*AA16,AA16*AA17)))),MAX(0,40*MAX(1,AA16)-(Y18+Z18))))</f>
        <v>8</v>
      </c>
      <c r="AB18" s="61">
        <f>IF(AND(AB16=1,AB17=12,AND(IFERROR(INDEX('Job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setup'!I$7:I$11,0)),"")=0))),8,MIN(IF(OR(AB16&lt;=0,NOT(OR(AND(IFERROR(INDEX('Job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8"),FALSE))))),MIN(8,AB17)*AB16,AB16*AB17)))),MAX(0,40*MAX(1,AB16)-(Y18+Z18+AA18))))</f>
        <v>8</v>
      </c>
      <c r="AC18" s="61">
        <f>IF(AND(AC16=1,AC17=12,AND(IFERROR(INDEX('Job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setup'!I$7:I$11,0)),"")=0))),8,MIN(IF(OR(AC16&lt;=0,NOT(OR(AND(IFERROR(INDEX('Job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8"),FALSE))))),MIN(8,AC17)*AC16,AC16*AC17)))),MAX(0,40*MAX(1,AC16)-(Y18+Z18+AA18+AB18))))</f>
        <v>8</v>
      </c>
      <c r="AD18" s="62">
        <f>IF(AND(AD16=1,AD17=12,AND(IFERROR(INDEX('Job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8"),FALSE))))),MIN(8,AD17)*AD16,AD16*AD17)))),MAX(0,40*MAX(1,AD16)-(Y18+Z18+AA18+AB18+AC18))))</f>
        <v>0</v>
      </c>
      <c r="AE18" s="62">
        <f>IF(AND(AE16=1,AE17=12,AND(IFERROR(INDEX('Job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8"),FALSE))))),MIN(8,AE17)*AE16,AE16*AE17)))),MAX(0,40*MAX(1,AE16)-(Y18+Z18+AA18+AB18+AC18+AD18))))</f>
        <v>0</v>
      </c>
      <c r="AF18" s="61">
        <f>IF(AND(AF16=1,AF17=12,AND(IFERROR(INDEX('Job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setup'!I$7:I$11,0)),"")=0))),8,MIN(IF(OR(AF16&lt;=0,NOT(OR(AND(IFERROR(INDEX('Job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8"),FALSE))))),MIN(8,AF17)*AF16,AF16*AF17)))),MAX(0,40*MAX(1,AF16)-(0))))</f>
        <v>8</v>
      </c>
      <c r="AG18" s="61">
        <f>IF(AND(AG16=1,AG17=12,AND(IFERROR(INDEX('Job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setup'!I$7:I$11,0)),"")=0))),8,MIN(IF(OR(AG16&lt;=0,NOT(OR(AND(IFERROR(INDEX('Job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8"),FALSE))))),MIN(8,AG17)*AG16,AG16*AG17)))),MAX(0,40*MAX(1,AG16)-(AF18))))</f>
        <v>8</v>
      </c>
      <c r="AH18" s="61">
        <f>IF(AND(AH16=1,AH17=12,AND(IFERROR(INDEX('Job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setup'!I$7:I$11,0)),"")=0))),8,MIN(IF(OR(AH16&lt;=0,NOT(OR(AND(IFERROR(INDEX('Job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8"),FALSE))))),MIN(8,AH17)*AH16,AH16*AH17)))),MAX(0,40*MAX(1,AH16)-(AF18+AG18))))</f>
        <v>8</v>
      </c>
      <c r="AI18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8"),FALSE))))),MIN(8,AI17)*AI16,AI16*AI17)))),MAX(0,40*MAX(1,AI16)-(0))))</f>
        <v>0</v>
      </c>
      <c r="AJ18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8"),FALSE))))),MIN(8,AJ17)*AJ16,AJ16*AJ17)))),MAX(0,40*MAX(1,AJ16)-(AI18))))</f>
        <v>0</v>
      </c>
      <c r="AK18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8"),FALSE))))),MIN(8,AK17)*AK16,AK16*AK17)))),MAX(0,40*MAX(1,AK16)-(AI18+AJ18))))</f>
        <v>0</v>
      </c>
      <c r="AL18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8"),FALSE))))),MIN(8,AL17)*AL16,AL16*AL17)))),MAX(0,40*MAX(1,AL16)-(AI18+AJ18+AK18))))</f>
        <v>0</v>
      </c>
      <c r="AM18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8"),FALSE))))),MIN(8,AM17)*AM16,AM16*AM17)))),MAX(0,40*MAX(1,AM16)-(0))))</f>
        <v>0</v>
      </c>
      <c r="AN18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8"),FALSE))))),MIN(8,AN17)*AN16,AN16*AN17)))),MAX(0,40*MAX(1,AN16)-(AM18))))</f>
        <v>0</v>
      </c>
      <c r="AO18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8"),FALSE))))),MIN(8,AO17)*AO16,AO16*AO17)))),MAX(0,40*MAX(1,AO16)-(AM18+AN18))))</f>
        <v>0</v>
      </c>
      <c r="AP18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8"),FALSE))))),MIN(8,AP17)*AP16,AP16*AP17)))),MAX(0,40*MAX(1,AP16)-(AM18+AN18+AO18))))</f>
        <v>0</v>
      </c>
      <c r="OU18" s="28" t="s">
        <v>88</v>
      </c>
    </row>
    <row r="19" ht="16" customHeight="1" spans="1:411" x14ac:dyDescent="0.25">
      <c r="A19" s="72"/>
      <c r="B19" s="77" t="s">
        <v>87</v>
      </c>
      <c r="C19" s="64">
        <f>G15*N(D19)</f>
        <v>9777.92</v>
      </c>
      <c r="D19" s="64">
        <f>IF(TRIM(IF(TRIM(B19)&lt;&gt;"",B19,B15))="","No rate",IFERROR(INDEX('Rate Tables'!D$7:D$161,MATCH(IF(TRIM(B19)&lt;&gt;"",B19,B15),'Rate Tables'!A$7:A$161,0)),"No rate"))</f>
        <v>152.78</v>
      </c>
      <c r="E19" s="53" t="s">
        <v>63</v>
      </c>
      <c r="F19" s="47"/>
      <c r="G19" s="47"/>
      <c r="H19" s="47"/>
      <c r="I19" s="47"/>
      <c r="J19" s="48"/>
      <c r="K19" s="60">
        <f>IF(AND(K16=0,K17=0,AND(IFERROR(INDEX('Job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setup'!I$7:I$11,0)),"")&gt;=K$6)))),0,IF(WEEKDAY(K$6,1)=1,0,IF(WEEKDAY(K$6,1)=7,K16*K17,IF(IF(AND(IFERROR(INDEX('Job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8"),FALSE))))),MAX(0,K17-8)*K16,0))))+((IF(OR(K16&lt;=0,NOT(OR(AND(IFERROR(INDEX('Job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8"),FALSE))))),MIN(8,K17)*K16,K16*K17)))))-MIN(IF(OR(K16&lt;=0,NOT(OR(AND(IFERROR(INDEX('Job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setup'!I$7:I$11,0)),"")&gt;=K$6)))),0,IF(WEEKDAY(K$6,1)=1,0,IF(WEEKDAY(K$6,1)=7,0,IF(IF(AND(IFERROR(INDEX('Job setup'!B$7:B$11,MATCH("pre",'Job setup'!I$7:I$11,0)),"")="ON",IFERROR(INDEX('Job setup'!C$7:C$11,MATCH("pre",'Job setup'!I$7:I$11,0)),"")&lt;=K$6,IFERROR(INDEX('Job setup'!D$7:D$11,MATCH("pre",'Job setup'!I$7:I$11,0)),"")&gt;=K$6),OR(IFERROR(INDEX('Job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setup'!I$7:I$11,0)),"")&lt;=K$6,IFERROR(INDEX('Job setup'!D$7:D$11,MATCH("oil-out",'Job setup'!I$7:I$11,0)),"")&gt;=K$6),OR(IFERROR(INDEX('Job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setup'!I$7:I$11,0)),"")&lt;=K$6,IFERROR(INDEX('Job setup'!D$7:D$11,MATCH("mech",'Job setup'!I$7:I$11,0)),"")&gt;=K$6),OR(IFERROR(INDEX('Job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setup'!I$7:I$11,0)),"")&lt;=K$6,IFERROR(INDEX('Job setup'!D$7:D$11,MATCH("oil-in",'Job setup'!I$7:I$11,0)),"")&gt;=K$6),OR(IFERROR(INDEX('Job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setup'!I$7:I$11,0)),"")&lt;=K$6,IFERROR(INDEX('Job setup'!D$7:D$11,MATCH("post",'Job setup'!I$7:I$11,0)),"")&gt;=K$6),OR(IFERROR(INDEX('Job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8"),FALSE))))),MIN(8,K17)*K16,K16*K17)))),MAX(0,40*MAX(1,K16)-(0)))))</f>
        <v>0</v>
      </c>
      <c r="L19" s="61">
        <f>IF(AND(L16=0,L17=0,AND(IFERROR(INDEX('Job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setup'!I$7:I$11,0)),"")&gt;=L$6)))),0,IF(WEEKDAY(L$6,1)=1,0,IF(WEEKDAY(L$6,1)=7,L16*L17,IF(IF(AND(IFERROR(INDEX('Job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8"),FALSE))))),MAX(0,L17-8)*L16,0))))+((IF(OR(L16&lt;=0,NOT(OR(AND(IFERROR(INDEX('Job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8"),FALSE))))),MIN(8,L17)*L16,L16*L17)))))-MIN(IF(OR(L16&lt;=0,NOT(OR(AND(IFERROR(INDEX('Job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setup'!I$7:I$11,0)),"")&gt;=L$6)))),0,IF(WEEKDAY(L$6,1)=1,0,IF(WEEKDAY(L$6,1)=7,0,IF(IF(AND(IFERROR(INDEX('Job setup'!B$7:B$11,MATCH("pre",'Job setup'!I$7:I$11,0)),"")="ON",IFERROR(INDEX('Job setup'!C$7:C$11,MATCH("pre",'Job setup'!I$7:I$11,0)),"")&lt;=L$6,IFERROR(INDEX('Job setup'!D$7:D$11,MATCH("pre",'Job setup'!I$7:I$11,0)),"")&gt;=L$6),OR(IFERROR(INDEX('Job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setup'!I$7:I$11,0)),"")&lt;=L$6,IFERROR(INDEX('Job setup'!D$7:D$11,MATCH("oil-out",'Job setup'!I$7:I$11,0)),"")&gt;=L$6),OR(IFERROR(INDEX('Job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setup'!I$7:I$11,0)),"")&lt;=L$6,IFERROR(INDEX('Job setup'!D$7:D$11,MATCH("mech",'Job setup'!I$7:I$11,0)),"")&gt;=L$6),OR(IFERROR(INDEX('Job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setup'!I$7:I$11,0)),"")&lt;=L$6,IFERROR(INDEX('Job setup'!D$7:D$11,MATCH("oil-in",'Job setup'!I$7:I$11,0)),"")&gt;=L$6),OR(IFERROR(INDEX('Job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setup'!I$7:I$11,0)),"")&lt;=L$6,IFERROR(INDEX('Job setup'!D$7:D$11,MATCH("post",'Job setup'!I$7:I$11,0)),"")&gt;=L$6),OR(IFERROR(INDEX('Job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8"),FALSE))))),MIN(8,L17)*L16,L16*L17)))),MAX(0,40*MAX(1,L16)-(K18)))))</f>
        <v>0</v>
      </c>
      <c r="M19" s="61">
        <f>IF(AND(M16=0,M17=0,AND(IFERROR(INDEX('Job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setup'!I$7:I$11,0)),"")&gt;=M$6)))),0,IF(WEEKDAY(M$6,1)=1,0,IF(WEEKDAY(M$6,1)=7,M16*M17,IF(IF(AND(IFERROR(INDEX('Job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8"),FALSE))))),MAX(0,M17-8)*M16,0))))+((IF(OR(M16&lt;=0,NOT(OR(AND(IFERROR(INDEX('Job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8"),FALSE))))),MIN(8,M17)*M16,M16*M17)))))-MIN(IF(OR(M16&lt;=0,NOT(OR(AND(IFERROR(INDEX('Job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setup'!I$7:I$11,0)),"")&gt;=M$6)))),0,IF(WEEKDAY(M$6,1)=1,0,IF(WEEKDAY(M$6,1)=7,0,IF(IF(AND(IFERROR(INDEX('Job setup'!B$7:B$11,MATCH("pre",'Job setup'!I$7:I$11,0)),"")="ON",IFERROR(INDEX('Job setup'!C$7:C$11,MATCH("pre",'Job setup'!I$7:I$11,0)),"")&lt;=M$6,IFERROR(INDEX('Job setup'!D$7:D$11,MATCH("pre",'Job setup'!I$7:I$11,0)),"")&gt;=M$6),OR(IFERROR(INDEX('Job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setup'!I$7:I$11,0)),"")&lt;=M$6,IFERROR(INDEX('Job setup'!D$7:D$11,MATCH("oil-out",'Job setup'!I$7:I$11,0)),"")&gt;=M$6),OR(IFERROR(INDEX('Job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setup'!I$7:I$11,0)),"")&lt;=M$6,IFERROR(INDEX('Job setup'!D$7:D$11,MATCH("mech",'Job setup'!I$7:I$11,0)),"")&gt;=M$6),OR(IFERROR(INDEX('Job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setup'!I$7:I$11,0)),"")&lt;=M$6,IFERROR(INDEX('Job setup'!D$7:D$11,MATCH("oil-in",'Job setup'!I$7:I$11,0)),"")&gt;=M$6),OR(IFERROR(INDEX('Job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setup'!I$7:I$11,0)),"")&lt;=M$6,IFERROR(INDEX('Job setup'!D$7:D$11,MATCH("post",'Job setup'!I$7:I$11,0)),"")&gt;=M$6),OR(IFERROR(INDEX('Job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8"),FALSE))))),MIN(8,M17)*M16,M16*M17)))),MAX(0,40*MAX(1,M16)-(K18+L18)))))</f>
        <v>0</v>
      </c>
      <c r="N19" s="61">
        <f>IF(AND(N16=0,N17=0,AND(IFERROR(INDEX('Job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setup'!I$7:I$11,0)),"")&gt;=N$6)))),0,IF(WEEKDAY(N$6,1)=1,0,IF(WEEKDAY(N$6,1)=7,N16*N17,IF(IF(AND(IFERROR(INDEX('Job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8"),FALSE))))),MAX(0,N17-8)*N16,0))))+((IF(OR(N16&lt;=0,NOT(OR(AND(IFERROR(INDEX('Job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8"),FALSE))))),MIN(8,N17)*N16,N16*N17)))))-MIN(IF(OR(N16&lt;=0,NOT(OR(AND(IFERROR(INDEX('Job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setup'!I$7:I$11,0)),"")&gt;=N$6)))),0,IF(WEEKDAY(N$6,1)=1,0,IF(WEEKDAY(N$6,1)=7,0,IF(IF(AND(IFERROR(INDEX('Job setup'!B$7:B$11,MATCH("pre",'Job setup'!I$7:I$11,0)),"")="ON",IFERROR(INDEX('Job setup'!C$7:C$11,MATCH("pre",'Job setup'!I$7:I$11,0)),"")&lt;=N$6,IFERROR(INDEX('Job setup'!D$7:D$11,MATCH("pre",'Job setup'!I$7:I$11,0)),"")&gt;=N$6),OR(IFERROR(INDEX('Job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setup'!I$7:I$11,0)),"")&lt;=N$6,IFERROR(INDEX('Job setup'!D$7:D$11,MATCH("oil-out",'Job setup'!I$7:I$11,0)),"")&gt;=N$6),OR(IFERROR(INDEX('Job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setup'!I$7:I$11,0)),"")&lt;=N$6,IFERROR(INDEX('Job setup'!D$7:D$11,MATCH("mech",'Job setup'!I$7:I$11,0)),"")&gt;=N$6),OR(IFERROR(INDEX('Job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setup'!I$7:I$11,0)),"")&lt;=N$6,IFERROR(INDEX('Job setup'!D$7:D$11,MATCH("oil-in",'Job setup'!I$7:I$11,0)),"")&gt;=N$6),OR(IFERROR(INDEX('Job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setup'!I$7:I$11,0)),"")&lt;=N$6,IFERROR(INDEX('Job setup'!D$7:D$11,MATCH("post",'Job setup'!I$7:I$11,0)),"")&gt;=N$6),OR(IFERROR(INDEX('Job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8"),FALSE))))),MIN(8,N17)*N16,N16*N17)))),MAX(0,40*MAX(1,N16)-(K18+L18+M18)))))</f>
        <v>0</v>
      </c>
      <c r="O19" s="61">
        <f>IF(AND(O16=0,O17=0,AND(IFERROR(INDEX('Job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setup'!I$7:I$11,0)),"")&gt;=O$6)))),0,IF(WEEKDAY(O$6,1)=1,0,IF(WEEKDAY(O$6,1)=7,O16*O17,IF(IF(AND(IFERROR(INDEX('Job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8"),FALSE))))),MAX(0,O17-8)*O16,0))))+((IF(OR(O16&lt;=0,NOT(OR(AND(IFERROR(INDEX('Job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8"),FALSE))))),MIN(8,O17)*O16,O16*O17)))))-MIN(IF(OR(O16&lt;=0,NOT(OR(AND(IFERROR(INDEX('Job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setup'!I$7:I$11,0)),"")&gt;=O$6)))),0,IF(WEEKDAY(O$6,1)=1,0,IF(WEEKDAY(O$6,1)=7,0,IF(IF(AND(IFERROR(INDEX('Job setup'!B$7:B$11,MATCH("pre",'Job setup'!I$7:I$11,0)),"")="ON",IFERROR(INDEX('Job setup'!C$7:C$11,MATCH("pre",'Job setup'!I$7:I$11,0)),"")&lt;=O$6,IFERROR(INDEX('Job setup'!D$7:D$11,MATCH("pre",'Job setup'!I$7:I$11,0)),"")&gt;=O$6),OR(IFERROR(INDEX('Job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setup'!I$7:I$11,0)),"")&lt;=O$6,IFERROR(INDEX('Job setup'!D$7:D$11,MATCH("oil-out",'Job setup'!I$7:I$11,0)),"")&gt;=O$6),OR(IFERROR(INDEX('Job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setup'!I$7:I$11,0)),"")&lt;=O$6,IFERROR(INDEX('Job setup'!D$7:D$11,MATCH("mech",'Job setup'!I$7:I$11,0)),"")&gt;=O$6),OR(IFERROR(INDEX('Job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setup'!I$7:I$11,0)),"")&lt;=O$6,IFERROR(INDEX('Job setup'!D$7:D$11,MATCH("oil-in",'Job setup'!I$7:I$11,0)),"")&gt;=O$6),OR(IFERROR(INDEX('Job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setup'!I$7:I$11,0)),"")&lt;=O$6,IFERROR(INDEX('Job setup'!D$7:D$11,MATCH("post",'Job setup'!I$7:I$11,0)),"")&gt;=O$6),OR(IFERROR(INDEX('Job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8"),FALSE))))),MIN(8,O17)*O16,O16*O17)))),MAX(0,40*MAX(1,O16)-(K18+L18+M18+N18)))))</f>
        <v>0</v>
      </c>
      <c r="P19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setup'!I$7:I$11,0)),"")&gt;=P$6)))),0,IF(WEEKDAY(P$6,1)=1,0,IF(WEEKDAY(P$6,1)=7,P16*P17,IF(IF(AND(IFERROR(INDEX('Job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8"),FALSE))))),MAX(0,P17-8)*P16,0))))+((IF(OR(P16&lt;=0,NOT(OR(AND(IFERROR(INDEX('Job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8"),FALSE))))),MIN(8,P17)*P16,P16*P17)))))-MIN(IF(OR(P16&lt;=0,NOT(OR(AND(IFERROR(INDEX('Job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setup'!I$7:I$11,0)),"")&gt;=P$6)))),0,IF(WEEKDAY(P$6,1)=1,0,IF(WEEKDAY(P$6,1)=7,0,IF(IF(AND(IFERROR(INDEX('Job setup'!B$7:B$11,MATCH("pre",'Job setup'!I$7:I$11,0)),"")="ON",IFERROR(INDEX('Job setup'!C$7:C$11,MATCH("pre",'Job setup'!I$7:I$11,0)),"")&lt;=P$6,IFERROR(INDEX('Job setup'!D$7:D$11,MATCH("pre",'Job setup'!I$7:I$11,0)),"")&gt;=P$6),OR(IFERROR(INDEX('Job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setup'!I$7:I$11,0)),"")&lt;=P$6,IFERROR(INDEX('Job setup'!D$7:D$11,MATCH("oil-out",'Job setup'!I$7:I$11,0)),"")&gt;=P$6),OR(IFERROR(INDEX('Job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setup'!I$7:I$11,0)),"")&lt;=P$6,IFERROR(INDEX('Job setup'!D$7:D$11,MATCH("mech",'Job setup'!I$7:I$11,0)),"")&gt;=P$6),OR(IFERROR(INDEX('Job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setup'!I$7:I$11,0)),"")&lt;=P$6,IFERROR(INDEX('Job setup'!D$7:D$11,MATCH("oil-in",'Job setup'!I$7:I$11,0)),"")&gt;=P$6),OR(IFERROR(INDEX('Job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setup'!I$7:I$11,0)),"")&lt;=P$6,IFERROR(INDEX('Job setup'!D$7:D$11,MATCH("post",'Job setup'!I$7:I$11,0)),"")&gt;=P$6),OR(IFERROR(INDEX('Job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8"),FALSE))))),MIN(8,P17)*P16,P16*P17)))),MAX(0,40*MAX(1,P16)-(K18+L18+M18+N18+O18)))))</f>
        <v>0</v>
      </c>
      <c r="Q19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setup'!I$7:I$11,0)),"")&gt;=Q$6)))),0,IF(WEEKDAY(Q$6,1)=1,0,IF(WEEKDAY(Q$6,1)=7,Q16*Q17,IF(IF(AND(IFERROR(INDEX('Job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8"),FALSE))))),MAX(0,Q17-8)*Q16,0))))+((IF(OR(Q16&lt;=0,NOT(OR(AND(IFERROR(INDEX('Job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8"),FALSE))))),MIN(8,Q17)*Q16,Q16*Q17)))))-MIN(IF(OR(Q16&lt;=0,NOT(OR(AND(IFERROR(INDEX('Job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setup'!I$7:I$11,0)),"")&gt;=Q$6)))),0,IF(WEEKDAY(Q$6,1)=1,0,IF(WEEKDAY(Q$6,1)=7,0,IF(IF(AND(IFERROR(INDEX('Job setup'!B$7:B$11,MATCH("pre",'Job setup'!I$7:I$11,0)),"")="ON",IFERROR(INDEX('Job setup'!C$7:C$11,MATCH("pre",'Job setup'!I$7:I$11,0)),"")&lt;=Q$6,IFERROR(INDEX('Job setup'!D$7:D$11,MATCH("pre",'Job setup'!I$7:I$11,0)),"")&gt;=Q$6),OR(IFERROR(INDEX('Job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setup'!I$7:I$11,0)),"")&lt;=Q$6,IFERROR(INDEX('Job setup'!D$7:D$11,MATCH("oil-out",'Job setup'!I$7:I$11,0)),"")&gt;=Q$6),OR(IFERROR(INDEX('Job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setup'!I$7:I$11,0)),"")&lt;=Q$6,IFERROR(INDEX('Job setup'!D$7:D$11,MATCH("mech",'Job setup'!I$7:I$11,0)),"")&gt;=Q$6),OR(IFERROR(INDEX('Job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setup'!I$7:I$11,0)),"")&lt;=Q$6,IFERROR(INDEX('Job setup'!D$7:D$11,MATCH("oil-in",'Job setup'!I$7:I$11,0)),"")&gt;=Q$6),OR(IFERROR(INDEX('Job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setup'!I$7:I$11,0)),"")&lt;=Q$6,IFERROR(INDEX('Job setup'!D$7:D$11,MATCH("post",'Job setup'!I$7:I$11,0)),"")&gt;=Q$6),OR(IFERROR(INDEX('Job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8"),FALSE))))),MIN(8,Q17)*Q16,Q16*Q17)))),MAX(0,40*MAX(1,Q16)-(K18+L18+M18+N18+O18+P18)))))</f>
        <v>0</v>
      </c>
      <c r="R19" s="61">
        <f>IF(AND(R16=0,R17=0,AND(IFERROR(INDEX('Job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setup'!I$7:I$11,0)),"")&gt;=R$6)))),0,IF(WEEKDAY(R$6,1)=1,0,IF(WEEKDAY(R$6,1)=7,R16*R17,IF(IF(AND(IFERROR(INDEX('Job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8"),FALSE))))),MAX(0,R17-8)*R16,0))))+((IF(OR(R16&lt;=0,NOT(OR(AND(IFERROR(INDEX('Job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8"),FALSE))))),MIN(8,R17)*R16,R16*R17)))))-MIN(IF(OR(R16&lt;=0,NOT(OR(AND(IFERROR(INDEX('Job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setup'!I$7:I$11,0)),"")&gt;=R$6)))),0,IF(WEEKDAY(R$6,1)=1,0,IF(WEEKDAY(R$6,1)=7,0,IF(IF(AND(IFERROR(INDEX('Job setup'!B$7:B$11,MATCH("pre",'Job setup'!I$7:I$11,0)),"")="ON",IFERROR(INDEX('Job setup'!C$7:C$11,MATCH("pre",'Job setup'!I$7:I$11,0)),"")&lt;=R$6,IFERROR(INDEX('Job setup'!D$7:D$11,MATCH("pre",'Job setup'!I$7:I$11,0)),"")&gt;=R$6),OR(IFERROR(INDEX('Job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setup'!I$7:I$11,0)),"")&lt;=R$6,IFERROR(INDEX('Job setup'!D$7:D$11,MATCH("oil-out",'Job setup'!I$7:I$11,0)),"")&gt;=R$6),OR(IFERROR(INDEX('Job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setup'!I$7:I$11,0)),"")&lt;=R$6,IFERROR(INDEX('Job setup'!D$7:D$11,MATCH("mech",'Job setup'!I$7:I$11,0)),"")&gt;=R$6),OR(IFERROR(INDEX('Job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setup'!I$7:I$11,0)),"")&lt;=R$6,IFERROR(INDEX('Job setup'!D$7:D$11,MATCH("oil-in",'Job setup'!I$7:I$11,0)),"")&gt;=R$6),OR(IFERROR(INDEX('Job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setup'!I$7:I$11,0)),"")&lt;=R$6,IFERROR(INDEX('Job setup'!D$7:D$11,MATCH("post",'Job setup'!I$7:I$11,0)),"")&gt;=R$6),OR(IFERROR(INDEX('Job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8"),FALSE))))),MIN(8,R17)*R16,R16*R17)))),MAX(0,40*MAX(1,R16)-(0)))))</f>
        <v>0</v>
      </c>
      <c r="S19" s="61">
        <f>IF(AND(S16=0,S17=0,AND(IFERROR(INDEX('Job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setup'!I$7:I$11,0)),"")&gt;=S$6)))),0,IF(WEEKDAY(S$6,1)=1,0,IF(WEEKDAY(S$6,1)=7,S16*S17,IF(IF(AND(IFERROR(INDEX('Job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8"),FALSE))))),MAX(0,S17-8)*S16,0))))+((IF(OR(S16&lt;=0,NOT(OR(AND(IFERROR(INDEX('Job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8"),FALSE))))),MIN(8,S17)*S16,S16*S17)))))-MIN(IF(OR(S16&lt;=0,NOT(OR(AND(IFERROR(INDEX('Job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setup'!I$7:I$11,0)),"")&gt;=S$6)))),0,IF(WEEKDAY(S$6,1)=1,0,IF(WEEKDAY(S$6,1)=7,0,IF(IF(AND(IFERROR(INDEX('Job setup'!B$7:B$11,MATCH("pre",'Job setup'!I$7:I$11,0)),"")="ON",IFERROR(INDEX('Job setup'!C$7:C$11,MATCH("pre",'Job setup'!I$7:I$11,0)),"")&lt;=S$6,IFERROR(INDEX('Job setup'!D$7:D$11,MATCH("pre",'Job setup'!I$7:I$11,0)),"")&gt;=S$6),OR(IFERROR(INDEX('Job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setup'!I$7:I$11,0)),"")&lt;=S$6,IFERROR(INDEX('Job setup'!D$7:D$11,MATCH("oil-out",'Job setup'!I$7:I$11,0)),"")&gt;=S$6),OR(IFERROR(INDEX('Job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setup'!I$7:I$11,0)),"")&lt;=S$6,IFERROR(INDEX('Job setup'!D$7:D$11,MATCH("mech",'Job setup'!I$7:I$11,0)),"")&gt;=S$6),OR(IFERROR(INDEX('Job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setup'!I$7:I$11,0)),"")&lt;=S$6,IFERROR(INDEX('Job setup'!D$7:D$11,MATCH("oil-in",'Job setup'!I$7:I$11,0)),"")&gt;=S$6),OR(IFERROR(INDEX('Job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setup'!I$7:I$11,0)),"")&lt;=S$6,IFERROR(INDEX('Job setup'!D$7:D$11,MATCH("post",'Job setup'!I$7:I$11,0)),"")&gt;=S$6),OR(IFERROR(INDEX('Job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8"),FALSE))))),MIN(8,S17)*S16,S16*S17)))),MAX(0,40*MAX(1,S16)-(R18)))))</f>
        <v>0</v>
      </c>
      <c r="T19" s="61">
        <f>IF(AND(T16=0,T17=0,AND(IFERROR(INDEX('Job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setup'!I$7:I$11,0)),"")&gt;=T$6)))),0,IF(WEEKDAY(T$6,1)=1,0,IF(WEEKDAY(T$6,1)=7,T16*T17,IF(IF(AND(IFERROR(INDEX('Job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8"),FALSE))))),MAX(0,T17-8)*T16,0))))+((IF(OR(T16&lt;=0,NOT(OR(AND(IFERROR(INDEX('Job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8"),FALSE))))),MIN(8,T17)*T16,T16*T17)))))-MIN(IF(OR(T16&lt;=0,NOT(OR(AND(IFERROR(INDEX('Job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setup'!I$7:I$11,0)),"")&gt;=T$6)))),0,IF(WEEKDAY(T$6,1)=1,0,IF(WEEKDAY(T$6,1)=7,0,IF(IF(AND(IFERROR(INDEX('Job setup'!B$7:B$11,MATCH("pre",'Job setup'!I$7:I$11,0)),"")="ON",IFERROR(INDEX('Job setup'!C$7:C$11,MATCH("pre",'Job setup'!I$7:I$11,0)),"")&lt;=T$6,IFERROR(INDEX('Job setup'!D$7:D$11,MATCH("pre",'Job setup'!I$7:I$11,0)),"")&gt;=T$6),OR(IFERROR(INDEX('Job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setup'!I$7:I$11,0)),"")&lt;=T$6,IFERROR(INDEX('Job setup'!D$7:D$11,MATCH("oil-out",'Job setup'!I$7:I$11,0)),"")&gt;=T$6),OR(IFERROR(INDEX('Job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setup'!I$7:I$11,0)),"")&lt;=T$6,IFERROR(INDEX('Job setup'!D$7:D$11,MATCH("mech",'Job setup'!I$7:I$11,0)),"")&gt;=T$6),OR(IFERROR(INDEX('Job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setup'!I$7:I$11,0)),"")&lt;=T$6,IFERROR(INDEX('Job setup'!D$7:D$11,MATCH("oil-in",'Job setup'!I$7:I$11,0)),"")&gt;=T$6),OR(IFERROR(INDEX('Job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setup'!I$7:I$11,0)),"")&lt;=T$6,IFERROR(INDEX('Job setup'!D$7:D$11,MATCH("post",'Job setup'!I$7:I$11,0)),"")&gt;=T$6),OR(IFERROR(INDEX('Job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8"),FALSE))))),MIN(8,T17)*T16,T16*T17)))),MAX(0,40*MAX(1,T16)-(R18+S18)))))</f>
        <v>0</v>
      </c>
      <c r="U19" s="61">
        <f>IF(AND(U16=1,U17=12,AND(IFERROR(INDEX('Job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setup'!I$7:I$11,0)),"")=0))),4,IF(OR(U16&lt;=0,NOT(OR(AND(IFERROR(INDEX('Job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setup'!I$7:I$11,0)),"")&gt;=U$6)))),0,IF(WEEKDAY(U$6,1)=1,0,IF(WEEKDAY(U$6,1)=7,U16*U17,IF(IF(AND(IFERROR(INDEX('Job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8"),FALSE))))),MAX(0,U17-8)*U16,0))))+((IF(OR(U16&lt;=0,NOT(OR(AND(IFERROR(INDEX('Job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8"),FALSE))))),MIN(8,U17)*U16,U16*U17)))))-MIN(IF(OR(U16&lt;=0,NOT(OR(AND(IFERROR(INDEX('Job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setup'!I$7:I$11,0)),"")&gt;=U$6)))),0,IF(WEEKDAY(U$6,1)=1,0,IF(WEEKDAY(U$6,1)=7,0,IF(IF(AND(IFERROR(INDEX('Job setup'!B$7:B$11,MATCH("pre",'Job setup'!I$7:I$11,0)),"")="ON",IFERROR(INDEX('Job setup'!C$7:C$11,MATCH("pre",'Job setup'!I$7:I$11,0)),"")&lt;=U$6,IFERROR(INDEX('Job setup'!D$7:D$11,MATCH("pre",'Job setup'!I$7:I$11,0)),"")&gt;=U$6),OR(IFERROR(INDEX('Job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setup'!I$7:I$11,0)),"")&lt;=U$6,IFERROR(INDEX('Job setup'!D$7:D$11,MATCH("oil-out",'Job setup'!I$7:I$11,0)),"")&gt;=U$6),OR(IFERROR(INDEX('Job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setup'!I$7:I$11,0)),"")&lt;=U$6,IFERROR(INDEX('Job setup'!D$7:D$11,MATCH("mech",'Job setup'!I$7:I$11,0)),"")&gt;=U$6),OR(IFERROR(INDEX('Job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setup'!I$7:I$11,0)),"")&lt;=U$6,IFERROR(INDEX('Job setup'!D$7:D$11,MATCH("oil-in",'Job setup'!I$7:I$11,0)),"")&gt;=U$6),OR(IFERROR(INDEX('Job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setup'!I$7:I$11,0)),"")&lt;=U$6,IFERROR(INDEX('Job setup'!D$7:D$11,MATCH("post",'Job setup'!I$7:I$11,0)),"")&gt;=U$6),OR(IFERROR(INDEX('Job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8"),FALSE))))),MIN(8,U17)*U16,U16*U17)))),MAX(0,40*MAX(1,U16)-(0)))))</f>
        <v>4</v>
      </c>
      <c r="V19" s="61">
        <f>IF(AND(V16=1,V17=12,AND(IFERROR(INDEX('Job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setup'!I$7:I$11,0)),"")=0))),4,IF(OR(V16&lt;=0,NOT(OR(AND(IFERROR(INDEX('Job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setup'!I$7:I$11,0)),"")&gt;=V$6)))),0,IF(WEEKDAY(V$6,1)=1,0,IF(WEEKDAY(V$6,1)=7,V16*V17,IF(IF(AND(IFERROR(INDEX('Job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8"),FALSE))))),MAX(0,V17-8)*V16,0))))+((IF(OR(V16&lt;=0,NOT(OR(AND(IFERROR(INDEX('Job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8"),FALSE))))),MIN(8,V17)*V16,V16*V17)))))-MIN(IF(OR(V16&lt;=0,NOT(OR(AND(IFERROR(INDEX('Job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setup'!I$7:I$11,0)),"")&gt;=V$6)))),0,IF(WEEKDAY(V$6,1)=1,0,IF(WEEKDAY(V$6,1)=7,0,IF(IF(AND(IFERROR(INDEX('Job setup'!B$7:B$11,MATCH("pre",'Job setup'!I$7:I$11,0)),"")="ON",IFERROR(INDEX('Job setup'!C$7:C$11,MATCH("pre",'Job setup'!I$7:I$11,0)),"")&lt;=V$6,IFERROR(INDEX('Job setup'!D$7:D$11,MATCH("pre",'Job setup'!I$7:I$11,0)),"")&gt;=V$6),OR(IFERROR(INDEX('Job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setup'!I$7:I$11,0)),"")&lt;=V$6,IFERROR(INDEX('Job setup'!D$7:D$11,MATCH("oil-out",'Job setup'!I$7:I$11,0)),"")&gt;=V$6),OR(IFERROR(INDEX('Job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setup'!I$7:I$11,0)),"")&lt;=V$6,IFERROR(INDEX('Job setup'!D$7:D$11,MATCH("mech",'Job setup'!I$7:I$11,0)),"")&gt;=V$6),OR(IFERROR(INDEX('Job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setup'!I$7:I$11,0)),"")&lt;=V$6,IFERROR(INDEX('Job setup'!D$7:D$11,MATCH("oil-in",'Job setup'!I$7:I$11,0)),"")&gt;=V$6),OR(IFERROR(INDEX('Job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setup'!I$7:I$11,0)),"")&lt;=V$6,IFERROR(INDEX('Job setup'!D$7:D$11,MATCH("post",'Job setup'!I$7:I$11,0)),"")&gt;=V$6),OR(IFERROR(INDEX('Job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8"),FALSE))))),MIN(8,V17)*V16,V16*V17)))),MAX(0,40*MAX(1,V16)-(U18)))))</f>
        <v>4</v>
      </c>
      <c r="W19" s="62">
        <f>IF(AND(W16=1,W17=12,AND(IFERROR(INDEX('Job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setup'!I$7:I$11,0)),"")=0))),12,IF(OR(W16&lt;=0,NOT(OR(AND(IFERROR(INDEX('Job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setup'!I$7:I$11,0)),"")&gt;=W$6)))),0,IF(WEEKDAY(W$6,1)=1,0,IF(WEEKDAY(W$6,1)=7,W16*W17,IF(IF(AND(IFERROR(INDEX('Job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8"),FALSE))))),MAX(0,W17-8)*W16,0))))+((IF(OR(W16&lt;=0,NOT(OR(AND(IFERROR(INDEX('Job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8"),FALSE))))),MIN(8,W17)*W16,W16*W17)))))-MIN(IF(OR(W16&lt;=0,NOT(OR(AND(IFERROR(INDEX('Job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setup'!I$7:I$11,0)),"")&gt;=W$6)))),0,IF(WEEKDAY(W$6,1)=1,0,IF(WEEKDAY(W$6,1)=7,0,IF(IF(AND(IFERROR(INDEX('Job setup'!B$7:B$11,MATCH("pre",'Job setup'!I$7:I$11,0)),"")="ON",IFERROR(INDEX('Job setup'!C$7:C$11,MATCH("pre",'Job setup'!I$7:I$11,0)),"")&lt;=W$6,IFERROR(INDEX('Job setup'!D$7:D$11,MATCH("pre",'Job setup'!I$7:I$11,0)),"")&gt;=W$6),OR(IFERROR(INDEX('Job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setup'!I$7:I$11,0)),"")&lt;=W$6,IFERROR(INDEX('Job setup'!D$7:D$11,MATCH("oil-out",'Job setup'!I$7:I$11,0)),"")&gt;=W$6),OR(IFERROR(INDEX('Job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setup'!I$7:I$11,0)),"")&lt;=W$6,IFERROR(INDEX('Job setup'!D$7:D$11,MATCH("mech",'Job setup'!I$7:I$11,0)),"")&gt;=W$6),OR(IFERROR(INDEX('Job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setup'!I$7:I$11,0)),"")&lt;=W$6,IFERROR(INDEX('Job setup'!D$7:D$11,MATCH("oil-in",'Job setup'!I$7:I$11,0)),"")&gt;=W$6),OR(IFERROR(INDEX('Job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setup'!I$7:I$11,0)),"")&lt;=W$6,IFERROR(INDEX('Job setup'!D$7:D$11,MATCH("post",'Job setup'!I$7:I$11,0)),"")&gt;=W$6),OR(IFERROR(INDEX('Job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8"),FALSE))))),MIN(8,W17)*W16,W16*W17)))),MAX(0,40*MAX(1,W16)-(U18+V18)))))</f>
        <v>12</v>
      </c>
      <c r="X19" s="62">
        <f>IF(AND(X16=1,X17=12,AND(IFERROR(INDEX('Job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setup'!I$7:I$11,0)),"")=0))),0,IF(OR(X16&lt;=0,NOT(OR(AND(IFERROR(INDEX('Job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setup'!I$7:I$11,0)),"")&gt;=X$6)))),0,IF(WEEKDAY(X$6,1)=1,0,IF(WEEKDAY(X$6,1)=7,X16*X17,IF(IF(AND(IFERROR(INDEX('Job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8"),FALSE))))),MAX(0,X17-8)*X16,0))))+((IF(OR(X16&lt;=0,NOT(OR(AND(IFERROR(INDEX('Job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8"),FALSE))))),MIN(8,X17)*X16,X16*X17)))))-MIN(IF(OR(X16&lt;=0,NOT(OR(AND(IFERROR(INDEX('Job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setup'!I$7:I$11,0)),"")&gt;=X$6)))),0,IF(WEEKDAY(X$6,1)=1,0,IF(WEEKDAY(X$6,1)=7,0,IF(IF(AND(IFERROR(INDEX('Job setup'!B$7:B$11,MATCH("pre",'Job setup'!I$7:I$11,0)),"")="ON",IFERROR(INDEX('Job setup'!C$7:C$11,MATCH("pre",'Job setup'!I$7:I$11,0)),"")&lt;=X$6,IFERROR(INDEX('Job setup'!D$7:D$11,MATCH("pre",'Job setup'!I$7:I$11,0)),"")&gt;=X$6),OR(IFERROR(INDEX('Job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setup'!I$7:I$11,0)),"")&lt;=X$6,IFERROR(INDEX('Job setup'!D$7:D$11,MATCH("oil-out",'Job setup'!I$7:I$11,0)),"")&gt;=X$6),OR(IFERROR(INDEX('Job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setup'!I$7:I$11,0)),"")&lt;=X$6,IFERROR(INDEX('Job setup'!D$7:D$11,MATCH("mech",'Job setup'!I$7:I$11,0)),"")&gt;=X$6),OR(IFERROR(INDEX('Job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setup'!I$7:I$11,0)),"")&lt;=X$6,IFERROR(INDEX('Job setup'!D$7:D$11,MATCH("oil-in",'Job setup'!I$7:I$11,0)),"")&gt;=X$6),OR(IFERROR(INDEX('Job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setup'!I$7:I$11,0)),"")&lt;=X$6,IFERROR(INDEX('Job setup'!D$7:D$11,MATCH("post",'Job setup'!I$7:I$11,0)),"")&gt;=X$6),OR(IFERROR(INDEX('Job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8"),FALSE))))),MIN(8,X17)*X16,X16*X17)))),MAX(0,40*MAX(1,X16)-(U18+V18+W18)))))</f>
        <v>0</v>
      </c>
      <c r="Y19" s="61">
        <f>IF(AND(Y16=1,Y17=12,AND(IFERROR(INDEX('Job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setup'!I$7:I$11,0)),"")=0))),4,IF(OR(Y16&lt;=0,NOT(OR(AND(IFERROR(INDEX('Job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setup'!I$7:I$11,0)),"")&gt;=Y$6)))),0,IF(WEEKDAY(Y$6,1)=1,0,IF(WEEKDAY(Y$6,1)=7,Y16*Y17,IF(IF(AND(IFERROR(INDEX('Job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8"),FALSE))))),MAX(0,Y17-8)*Y16,0))))+((IF(OR(Y16&lt;=0,NOT(OR(AND(IFERROR(INDEX('Job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8"),FALSE))))),MIN(8,Y17)*Y16,Y16*Y17)))))-MIN(IF(OR(Y16&lt;=0,NOT(OR(AND(IFERROR(INDEX('Job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setup'!I$7:I$11,0)),"")&gt;=Y$6)))),0,IF(WEEKDAY(Y$6,1)=1,0,IF(WEEKDAY(Y$6,1)=7,0,IF(IF(AND(IFERROR(INDEX('Job setup'!B$7:B$11,MATCH("pre",'Job setup'!I$7:I$11,0)),"")="ON",IFERROR(INDEX('Job setup'!C$7:C$11,MATCH("pre",'Job setup'!I$7:I$11,0)),"")&lt;=Y$6,IFERROR(INDEX('Job setup'!D$7:D$11,MATCH("pre",'Job setup'!I$7:I$11,0)),"")&gt;=Y$6),OR(IFERROR(INDEX('Job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setup'!I$7:I$11,0)),"")&lt;=Y$6,IFERROR(INDEX('Job setup'!D$7:D$11,MATCH("oil-out",'Job setup'!I$7:I$11,0)),"")&gt;=Y$6),OR(IFERROR(INDEX('Job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setup'!I$7:I$11,0)),"")&lt;=Y$6,IFERROR(INDEX('Job setup'!D$7:D$11,MATCH("mech",'Job setup'!I$7:I$11,0)),"")&gt;=Y$6),OR(IFERROR(INDEX('Job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setup'!I$7:I$11,0)),"")&lt;=Y$6,IFERROR(INDEX('Job setup'!D$7:D$11,MATCH("oil-in",'Job setup'!I$7:I$11,0)),"")&gt;=Y$6),OR(IFERROR(INDEX('Job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setup'!I$7:I$11,0)),"")&lt;=Y$6,IFERROR(INDEX('Job setup'!D$7:D$11,MATCH("post",'Job setup'!I$7:I$11,0)),"")&gt;=Y$6),OR(IFERROR(INDEX('Job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8"),FALSE))))),MIN(8,Y17)*Y16,Y16*Y17)))),MAX(0,40*MAX(1,Y16)-(0)))))</f>
        <v>4</v>
      </c>
      <c r="Z19" s="61">
        <f>IF(AND(Z16=1,Z17=12,AND(IFERROR(INDEX('Job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setup'!I$7:I$11,0)),"")=0))),4,IF(OR(Z16&lt;=0,NOT(OR(AND(IFERROR(INDEX('Job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setup'!I$7:I$11,0)),"")&gt;=Z$6)))),0,IF(WEEKDAY(Z$6,1)=1,0,IF(WEEKDAY(Z$6,1)=7,Z16*Z17,IF(IF(AND(IFERROR(INDEX('Job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8"),FALSE))))),MAX(0,Z17-8)*Z16,0))))+((IF(OR(Z16&lt;=0,NOT(OR(AND(IFERROR(INDEX('Job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8"),FALSE))))),MIN(8,Z17)*Z16,Z16*Z17)))))-MIN(IF(OR(Z16&lt;=0,NOT(OR(AND(IFERROR(INDEX('Job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setup'!I$7:I$11,0)),"")&gt;=Z$6)))),0,IF(WEEKDAY(Z$6,1)=1,0,IF(WEEKDAY(Z$6,1)=7,0,IF(IF(AND(IFERROR(INDEX('Job setup'!B$7:B$11,MATCH("pre",'Job setup'!I$7:I$11,0)),"")="ON",IFERROR(INDEX('Job setup'!C$7:C$11,MATCH("pre",'Job setup'!I$7:I$11,0)),"")&lt;=Z$6,IFERROR(INDEX('Job setup'!D$7:D$11,MATCH("pre",'Job setup'!I$7:I$11,0)),"")&gt;=Z$6),OR(IFERROR(INDEX('Job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setup'!I$7:I$11,0)),"")&lt;=Z$6,IFERROR(INDEX('Job setup'!D$7:D$11,MATCH("oil-out",'Job setup'!I$7:I$11,0)),"")&gt;=Z$6),OR(IFERROR(INDEX('Job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setup'!I$7:I$11,0)),"")&lt;=Z$6,IFERROR(INDEX('Job setup'!D$7:D$11,MATCH("mech",'Job setup'!I$7:I$11,0)),"")&gt;=Z$6),OR(IFERROR(INDEX('Job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setup'!I$7:I$11,0)),"")&lt;=Z$6,IFERROR(INDEX('Job setup'!D$7:D$11,MATCH("oil-in",'Job setup'!I$7:I$11,0)),"")&gt;=Z$6),OR(IFERROR(INDEX('Job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setup'!I$7:I$11,0)),"")&lt;=Z$6,IFERROR(INDEX('Job setup'!D$7:D$11,MATCH("post",'Job setup'!I$7:I$11,0)),"")&gt;=Z$6),OR(IFERROR(INDEX('Job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8"),FALSE))))),MIN(8,Z17)*Z16,Z16*Z17)))),MAX(0,40*MAX(1,Z16)-(Y18)))))</f>
        <v>4</v>
      </c>
      <c r="AA19" s="61">
        <f>IF(AND(AA16=1,AA17=12,AND(IFERROR(INDEX('Job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setup'!I$7:I$11,0)),"")=0))),4,IF(OR(AA16&lt;=0,NOT(OR(AND(IFERROR(INDEX('Job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setup'!I$7:I$11,0)),"")&gt;=AA$6)))),0,IF(WEEKDAY(AA$6,1)=1,0,IF(WEEKDAY(AA$6,1)=7,AA16*AA17,IF(IF(AND(IFERROR(INDEX('Job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8"),FALSE))))),MAX(0,AA17-8)*AA16,0))))+((IF(OR(AA16&lt;=0,NOT(OR(AND(IFERROR(INDEX('Job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8"),FALSE))))),MIN(8,AA17)*AA16,AA16*AA17)))))-MIN(IF(OR(AA16&lt;=0,NOT(OR(AND(IFERROR(INDEX('Job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setup'!I$7:I$11,0)),"")&gt;=AA$6)))),0,IF(WEEKDAY(AA$6,1)=1,0,IF(WEEKDAY(AA$6,1)=7,0,IF(IF(AND(IFERROR(INDEX('Job setup'!B$7:B$11,MATCH("pre",'Job setup'!I$7:I$11,0)),"")="ON",IFERROR(INDEX('Job setup'!C$7:C$11,MATCH("pre",'Job setup'!I$7:I$11,0)),"")&lt;=AA$6,IFERROR(INDEX('Job setup'!D$7:D$11,MATCH("pre",'Job setup'!I$7:I$11,0)),"")&gt;=AA$6),OR(IFERROR(INDEX('Job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setup'!I$7:I$11,0)),"")&lt;=AA$6,IFERROR(INDEX('Job setup'!D$7:D$11,MATCH("oil-out",'Job setup'!I$7:I$11,0)),"")&gt;=AA$6),OR(IFERROR(INDEX('Job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setup'!I$7:I$11,0)),"")&lt;=AA$6,IFERROR(INDEX('Job setup'!D$7:D$11,MATCH("mech",'Job setup'!I$7:I$11,0)),"")&gt;=AA$6),OR(IFERROR(INDEX('Job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setup'!I$7:I$11,0)),"")&lt;=AA$6,IFERROR(INDEX('Job setup'!D$7:D$11,MATCH("oil-in",'Job setup'!I$7:I$11,0)),"")&gt;=AA$6),OR(IFERROR(INDEX('Job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setup'!I$7:I$11,0)),"")&lt;=AA$6,IFERROR(INDEX('Job setup'!D$7:D$11,MATCH("post",'Job setup'!I$7:I$11,0)),"")&gt;=AA$6),OR(IFERROR(INDEX('Job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8"),FALSE))))),MIN(8,AA17)*AA16,AA16*AA17)))),MAX(0,40*MAX(1,AA16)-(Y18+Z18)))))</f>
        <v>4</v>
      </c>
      <c r="AB19" s="61">
        <f>IF(AND(AB16=1,AB17=12,AND(IFERROR(INDEX('Job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setup'!I$7:I$11,0)),"")=0))),4,IF(OR(AB16&lt;=0,NOT(OR(AND(IFERROR(INDEX('Job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setup'!I$7:I$11,0)),"")&gt;=AB$6)))),0,IF(WEEKDAY(AB$6,1)=1,0,IF(WEEKDAY(AB$6,1)=7,AB16*AB17,IF(IF(AND(IFERROR(INDEX('Job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8"),FALSE))))),MAX(0,AB17-8)*AB16,0))))+((IF(OR(AB16&lt;=0,NOT(OR(AND(IFERROR(INDEX('Job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8"),FALSE))))),MIN(8,AB17)*AB16,AB16*AB17)))))-MIN(IF(OR(AB16&lt;=0,NOT(OR(AND(IFERROR(INDEX('Job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setup'!I$7:I$11,0)),"")&gt;=AB$6)))),0,IF(WEEKDAY(AB$6,1)=1,0,IF(WEEKDAY(AB$6,1)=7,0,IF(IF(AND(IFERROR(INDEX('Job setup'!B$7:B$11,MATCH("pre",'Job setup'!I$7:I$11,0)),"")="ON",IFERROR(INDEX('Job setup'!C$7:C$11,MATCH("pre",'Job setup'!I$7:I$11,0)),"")&lt;=AB$6,IFERROR(INDEX('Job setup'!D$7:D$11,MATCH("pre",'Job setup'!I$7:I$11,0)),"")&gt;=AB$6),OR(IFERROR(INDEX('Job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setup'!I$7:I$11,0)),"")&lt;=AB$6,IFERROR(INDEX('Job setup'!D$7:D$11,MATCH("oil-out",'Job setup'!I$7:I$11,0)),"")&gt;=AB$6),OR(IFERROR(INDEX('Job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setup'!I$7:I$11,0)),"")&lt;=AB$6,IFERROR(INDEX('Job setup'!D$7:D$11,MATCH("mech",'Job setup'!I$7:I$11,0)),"")&gt;=AB$6),OR(IFERROR(INDEX('Job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setup'!I$7:I$11,0)),"")&lt;=AB$6,IFERROR(INDEX('Job setup'!D$7:D$11,MATCH("oil-in",'Job setup'!I$7:I$11,0)),"")&gt;=AB$6),OR(IFERROR(INDEX('Job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setup'!I$7:I$11,0)),"")&lt;=AB$6,IFERROR(INDEX('Job setup'!D$7:D$11,MATCH("post",'Job setup'!I$7:I$11,0)),"")&gt;=AB$6),OR(IFERROR(INDEX('Job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8"),FALSE))))),MIN(8,AB17)*AB16,AB16*AB17)))),MAX(0,40*MAX(1,AB16)-(Y18+Z18+AA18)))))</f>
        <v>4</v>
      </c>
      <c r="AC19" s="61">
        <f>IF(AND(AC16=1,AC17=12,AND(IFERROR(INDEX('Job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setup'!I$7:I$11,0)),"")=0))),4,IF(OR(AC16&lt;=0,NOT(OR(AND(IFERROR(INDEX('Job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setup'!I$7:I$11,0)),"")&gt;=AC$6)))),0,IF(WEEKDAY(AC$6,1)=1,0,IF(WEEKDAY(AC$6,1)=7,AC16*AC17,IF(IF(AND(IFERROR(INDEX('Job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8"),FALSE))))),MAX(0,AC17-8)*AC16,0))))+((IF(OR(AC16&lt;=0,NOT(OR(AND(IFERROR(INDEX('Job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8"),FALSE))))),MIN(8,AC17)*AC16,AC16*AC17)))))-MIN(IF(OR(AC16&lt;=0,NOT(OR(AND(IFERROR(INDEX('Job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setup'!I$7:I$11,0)),"")&gt;=AC$6)))),0,IF(WEEKDAY(AC$6,1)=1,0,IF(WEEKDAY(AC$6,1)=7,0,IF(IF(AND(IFERROR(INDEX('Job setup'!B$7:B$11,MATCH("pre",'Job setup'!I$7:I$11,0)),"")="ON",IFERROR(INDEX('Job setup'!C$7:C$11,MATCH("pre",'Job setup'!I$7:I$11,0)),"")&lt;=AC$6,IFERROR(INDEX('Job setup'!D$7:D$11,MATCH("pre",'Job setup'!I$7:I$11,0)),"")&gt;=AC$6),OR(IFERROR(INDEX('Job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setup'!I$7:I$11,0)),"")&lt;=AC$6,IFERROR(INDEX('Job setup'!D$7:D$11,MATCH("oil-out",'Job setup'!I$7:I$11,0)),"")&gt;=AC$6),OR(IFERROR(INDEX('Job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setup'!I$7:I$11,0)),"")&lt;=AC$6,IFERROR(INDEX('Job setup'!D$7:D$11,MATCH("mech",'Job setup'!I$7:I$11,0)),"")&gt;=AC$6),OR(IFERROR(INDEX('Job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setup'!I$7:I$11,0)),"")&lt;=AC$6,IFERROR(INDEX('Job setup'!D$7:D$11,MATCH("oil-in",'Job setup'!I$7:I$11,0)),"")&gt;=AC$6),OR(IFERROR(INDEX('Job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setup'!I$7:I$11,0)),"")&lt;=AC$6,IFERROR(INDEX('Job setup'!D$7:D$11,MATCH("post",'Job setup'!I$7:I$11,0)),"")&gt;=AC$6),OR(IFERROR(INDEX('Job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8"),FALSE))))),MIN(8,AC17)*AC16,AC16*AC17)))),MAX(0,40*MAX(1,AC16)-(Y18+Z18+AA18+AB18)))))</f>
        <v>4</v>
      </c>
      <c r="AD19" s="62">
        <f>IF(AND(AD16=1,AD17=12,AND(IFERROR(INDEX('Job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setup'!I$7:I$11,0)),"")=0))),12,IF(OR(AD16&lt;=0,NOT(OR(AND(IFERROR(INDEX('Job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setup'!I$7:I$11,0)),"")&gt;=AD$6)))),0,IF(WEEKDAY(AD$6,1)=1,0,IF(WEEKDAY(AD$6,1)=7,AD16*AD17,IF(IF(AND(IFERROR(INDEX('Job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8"),FALSE))))),MAX(0,AD17-8)*AD16,0))))+((IF(OR(AD16&lt;=0,NOT(OR(AND(IFERROR(INDEX('Job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8"),FALSE))))),MIN(8,AD17)*AD16,AD16*AD17)))))-MIN(IF(OR(AD16&lt;=0,NOT(OR(AND(IFERROR(INDEX('Job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setup'!I$7:I$11,0)),"")&gt;=AD$6)))),0,IF(WEEKDAY(AD$6,1)=1,0,IF(WEEKDAY(AD$6,1)=7,0,IF(IF(AND(IFERROR(INDEX('Job setup'!B$7:B$11,MATCH("pre",'Job setup'!I$7:I$11,0)),"")="ON",IFERROR(INDEX('Job setup'!C$7:C$11,MATCH("pre",'Job setup'!I$7:I$11,0)),"")&lt;=AD$6,IFERROR(INDEX('Job setup'!D$7:D$11,MATCH("pre",'Job setup'!I$7:I$11,0)),"")&gt;=AD$6),OR(IFERROR(INDEX('Job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setup'!I$7:I$11,0)),"")&lt;=AD$6,IFERROR(INDEX('Job setup'!D$7:D$11,MATCH("oil-out",'Job setup'!I$7:I$11,0)),"")&gt;=AD$6),OR(IFERROR(INDEX('Job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setup'!I$7:I$11,0)),"")&lt;=AD$6,IFERROR(INDEX('Job setup'!D$7:D$11,MATCH("mech",'Job setup'!I$7:I$11,0)),"")&gt;=AD$6),OR(IFERROR(INDEX('Job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setup'!I$7:I$11,0)),"")&lt;=AD$6,IFERROR(INDEX('Job setup'!D$7:D$11,MATCH("oil-in",'Job setup'!I$7:I$11,0)),"")&gt;=AD$6),OR(IFERROR(INDEX('Job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setup'!I$7:I$11,0)),"")&lt;=AD$6,IFERROR(INDEX('Job setup'!D$7:D$11,MATCH("post",'Job setup'!I$7:I$11,0)),"")&gt;=AD$6),OR(IFERROR(INDEX('Job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8"),FALSE))))),MIN(8,AD17)*AD16,AD16*AD17)))),MAX(0,40*MAX(1,AD16)-(Y18+Z18+AA18+AB18+AC18)))))</f>
        <v>12</v>
      </c>
      <c r="AE19" s="62">
        <f>IF(AND(AE16=1,AE17=12,AND(IFERROR(INDEX('Job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setup'!I$7:I$11,0)),"")=0))),0,IF(OR(AE16&lt;=0,NOT(OR(AND(IFERROR(INDEX('Job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setup'!I$7:I$11,0)),"")&gt;=AE$6)))),0,IF(WEEKDAY(AE$6,1)=1,0,IF(WEEKDAY(AE$6,1)=7,AE16*AE17,IF(IF(AND(IFERROR(INDEX('Job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8"),FALSE))))),MAX(0,AE17-8)*AE16,0))))+((IF(OR(AE16&lt;=0,NOT(OR(AND(IFERROR(INDEX('Job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8"),FALSE))))),MIN(8,AE17)*AE16,AE16*AE17)))))-MIN(IF(OR(AE16&lt;=0,NOT(OR(AND(IFERROR(INDEX('Job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setup'!I$7:I$11,0)),"")&gt;=AE$6)))),0,IF(WEEKDAY(AE$6,1)=1,0,IF(WEEKDAY(AE$6,1)=7,0,IF(IF(AND(IFERROR(INDEX('Job setup'!B$7:B$11,MATCH("pre",'Job setup'!I$7:I$11,0)),"")="ON",IFERROR(INDEX('Job setup'!C$7:C$11,MATCH("pre",'Job setup'!I$7:I$11,0)),"")&lt;=AE$6,IFERROR(INDEX('Job setup'!D$7:D$11,MATCH("pre",'Job setup'!I$7:I$11,0)),"")&gt;=AE$6),OR(IFERROR(INDEX('Job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setup'!I$7:I$11,0)),"")&lt;=AE$6,IFERROR(INDEX('Job setup'!D$7:D$11,MATCH("oil-out",'Job setup'!I$7:I$11,0)),"")&gt;=AE$6),OR(IFERROR(INDEX('Job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setup'!I$7:I$11,0)),"")&lt;=AE$6,IFERROR(INDEX('Job setup'!D$7:D$11,MATCH("mech",'Job setup'!I$7:I$11,0)),"")&gt;=AE$6),OR(IFERROR(INDEX('Job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setup'!I$7:I$11,0)),"")&lt;=AE$6,IFERROR(INDEX('Job setup'!D$7:D$11,MATCH("oil-in",'Job setup'!I$7:I$11,0)),"")&gt;=AE$6),OR(IFERROR(INDEX('Job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setup'!I$7:I$11,0)),"")&lt;=AE$6,IFERROR(INDEX('Job setup'!D$7:D$11,MATCH("post",'Job setup'!I$7:I$11,0)),"")&gt;=AE$6),OR(IFERROR(INDEX('Job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8"),FALSE))))),MIN(8,AE17)*AE16,AE16*AE17)))),MAX(0,40*MAX(1,AE16)-(Y18+Z18+AA18+AB18+AC18+AD18)))))</f>
        <v>0</v>
      </c>
      <c r="AF19" s="61">
        <f>IF(AND(AF16=1,AF17=12,AND(IFERROR(INDEX('Job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setup'!I$7:I$11,0)),"")=0))),4,IF(OR(AF16&lt;=0,NOT(OR(AND(IFERROR(INDEX('Job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setup'!I$7:I$11,0)),"")&gt;=AF$6)))),0,IF(WEEKDAY(AF$6,1)=1,0,IF(WEEKDAY(AF$6,1)=7,AF16*AF17,IF(IF(AND(IFERROR(INDEX('Job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8"),FALSE))))),MAX(0,AF17-8)*AF16,0))))+((IF(OR(AF16&lt;=0,NOT(OR(AND(IFERROR(INDEX('Job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8"),FALSE))))),MIN(8,AF17)*AF16,AF16*AF17)))))-MIN(IF(OR(AF16&lt;=0,NOT(OR(AND(IFERROR(INDEX('Job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setup'!I$7:I$11,0)),"")&gt;=AF$6)))),0,IF(WEEKDAY(AF$6,1)=1,0,IF(WEEKDAY(AF$6,1)=7,0,IF(IF(AND(IFERROR(INDEX('Job setup'!B$7:B$11,MATCH("pre",'Job setup'!I$7:I$11,0)),"")="ON",IFERROR(INDEX('Job setup'!C$7:C$11,MATCH("pre",'Job setup'!I$7:I$11,0)),"")&lt;=AF$6,IFERROR(INDEX('Job setup'!D$7:D$11,MATCH("pre",'Job setup'!I$7:I$11,0)),"")&gt;=AF$6),OR(IFERROR(INDEX('Job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setup'!I$7:I$11,0)),"")&lt;=AF$6,IFERROR(INDEX('Job setup'!D$7:D$11,MATCH("oil-out",'Job setup'!I$7:I$11,0)),"")&gt;=AF$6),OR(IFERROR(INDEX('Job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setup'!I$7:I$11,0)),"")&lt;=AF$6,IFERROR(INDEX('Job setup'!D$7:D$11,MATCH("mech",'Job setup'!I$7:I$11,0)),"")&gt;=AF$6),OR(IFERROR(INDEX('Job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setup'!I$7:I$11,0)),"")&lt;=AF$6,IFERROR(INDEX('Job setup'!D$7:D$11,MATCH("oil-in",'Job setup'!I$7:I$11,0)),"")&gt;=AF$6),OR(IFERROR(INDEX('Job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setup'!I$7:I$11,0)),"")&lt;=AF$6,IFERROR(INDEX('Job setup'!D$7:D$11,MATCH("post",'Job setup'!I$7:I$11,0)),"")&gt;=AF$6),OR(IFERROR(INDEX('Job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8"),FALSE))))),MIN(8,AF17)*AF16,AF16*AF17)))),MAX(0,40*MAX(1,AF16)-(0)))))</f>
        <v>4</v>
      </c>
      <c r="AG19" s="61">
        <f>IF(AND(AG16=1,AG17=12,AND(IFERROR(INDEX('Job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setup'!I$7:I$11,0)),"")=0))),4,IF(OR(AG16&lt;=0,NOT(OR(AND(IFERROR(INDEX('Job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setup'!I$7:I$11,0)),"")&gt;=AG$6)))),0,IF(WEEKDAY(AG$6,1)=1,0,IF(WEEKDAY(AG$6,1)=7,AG16*AG17,IF(IF(AND(IFERROR(INDEX('Job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8"),FALSE))))),MAX(0,AG17-8)*AG16,0))))+((IF(OR(AG16&lt;=0,NOT(OR(AND(IFERROR(INDEX('Job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8"),FALSE))))),MIN(8,AG17)*AG16,AG16*AG17)))))-MIN(IF(OR(AG16&lt;=0,NOT(OR(AND(IFERROR(INDEX('Job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setup'!I$7:I$11,0)),"")&gt;=AG$6)))),0,IF(WEEKDAY(AG$6,1)=1,0,IF(WEEKDAY(AG$6,1)=7,0,IF(IF(AND(IFERROR(INDEX('Job setup'!B$7:B$11,MATCH("pre",'Job setup'!I$7:I$11,0)),"")="ON",IFERROR(INDEX('Job setup'!C$7:C$11,MATCH("pre",'Job setup'!I$7:I$11,0)),"")&lt;=AG$6,IFERROR(INDEX('Job setup'!D$7:D$11,MATCH("pre",'Job setup'!I$7:I$11,0)),"")&gt;=AG$6),OR(IFERROR(INDEX('Job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setup'!I$7:I$11,0)),"")&lt;=AG$6,IFERROR(INDEX('Job setup'!D$7:D$11,MATCH("oil-out",'Job setup'!I$7:I$11,0)),"")&gt;=AG$6),OR(IFERROR(INDEX('Job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setup'!I$7:I$11,0)),"")&lt;=AG$6,IFERROR(INDEX('Job setup'!D$7:D$11,MATCH("mech",'Job setup'!I$7:I$11,0)),"")&gt;=AG$6),OR(IFERROR(INDEX('Job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setup'!I$7:I$11,0)),"")&lt;=AG$6,IFERROR(INDEX('Job setup'!D$7:D$11,MATCH("oil-in",'Job setup'!I$7:I$11,0)),"")&gt;=AG$6),OR(IFERROR(INDEX('Job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setup'!I$7:I$11,0)),"")&lt;=AG$6,IFERROR(INDEX('Job setup'!D$7:D$11,MATCH("post",'Job setup'!I$7:I$11,0)),"")&gt;=AG$6),OR(IFERROR(INDEX('Job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8"),FALSE))))),MIN(8,AG17)*AG16,AG16*AG17)))),MAX(0,40*MAX(1,AG16)-(AF18)))))</f>
        <v>4</v>
      </c>
      <c r="AH19" s="61">
        <f>IF(AND(AH16=1,AH17=12,AND(IFERROR(INDEX('Job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setup'!I$7:I$11,0)),"")=0))),4,IF(OR(AH16&lt;=0,NOT(OR(AND(IFERROR(INDEX('Job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setup'!I$7:I$11,0)),"")&gt;=AH$6)))),0,IF(WEEKDAY(AH$6,1)=1,0,IF(WEEKDAY(AH$6,1)=7,AH16*AH17,IF(IF(AND(IFERROR(INDEX('Job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8"),FALSE))))),MAX(0,AH17-8)*AH16,0))))+((IF(OR(AH16&lt;=0,NOT(OR(AND(IFERROR(INDEX('Job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8"),FALSE))))),MIN(8,AH17)*AH16,AH16*AH17)))))-MIN(IF(OR(AH16&lt;=0,NOT(OR(AND(IFERROR(INDEX('Job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setup'!I$7:I$11,0)),"")&gt;=AH$6)))),0,IF(WEEKDAY(AH$6,1)=1,0,IF(WEEKDAY(AH$6,1)=7,0,IF(IF(AND(IFERROR(INDEX('Job setup'!B$7:B$11,MATCH("pre",'Job setup'!I$7:I$11,0)),"")="ON",IFERROR(INDEX('Job setup'!C$7:C$11,MATCH("pre",'Job setup'!I$7:I$11,0)),"")&lt;=AH$6,IFERROR(INDEX('Job setup'!D$7:D$11,MATCH("pre",'Job setup'!I$7:I$11,0)),"")&gt;=AH$6),OR(IFERROR(INDEX('Job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setup'!I$7:I$11,0)),"")&lt;=AH$6,IFERROR(INDEX('Job setup'!D$7:D$11,MATCH("oil-out",'Job setup'!I$7:I$11,0)),"")&gt;=AH$6),OR(IFERROR(INDEX('Job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setup'!I$7:I$11,0)),"")&lt;=AH$6,IFERROR(INDEX('Job setup'!D$7:D$11,MATCH("mech",'Job setup'!I$7:I$11,0)),"")&gt;=AH$6),OR(IFERROR(INDEX('Job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setup'!I$7:I$11,0)),"")&lt;=AH$6,IFERROR(INDEX('Job setup'!D$7:D$11,MATCH("oil-in",'Job setup'!I$7:I$11,0)),"")&gt;=AH$6),OR(IFERROR(INDEX('Job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setup'!I$7:I$11,0)),"")&lt;=AH$6,IFERROR(INDEX('Job setup'!D$7:D$11,MATCH("post",'Job setup'!I$7:I$11,0)),"")&gt;=AH$6),OR(IFERROR(INDEX('Job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8"),FALSE))))),MIN(8,AH17)*AH16,AH16*AH17)))),MAX(0,40*MAX(1,AH16)-(AF18+AG18)))))</f>
        <v>4</v>
      </c>
      <c r="AI19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setup'!I$7:I$11,0)),"")&gt;=AI$6)))),0,IF(WEEKDAY(AI$6,1)=1,0,IF(WEEKDAY(AI$6,1)=7,AI16*AI17,IF(IF(AND(IFERROR(INDEX('Job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8"),FALSE))))),MAX(0,AI17-8)*AI16,0))))+((IF(OR(AI16&lt;=0,NOT(OR(AND(IFERROR(INDEX('Job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8"),FALSE))))),MIN(8,AI17)*AI16,AI16*AI17)))))-MIN(IF(OR(AI16&lt;=0,NOT(OR(AND(IFERROR(INDEX('Job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setup'!I$7:I$11,0)),"")&gt;=AI$6)))),0,IF(WEEKDAY(AI$6,1)=1,0,IF(WEEKDAY(AI$6,1)=7,0,IF(IF(AND(IFERROR(INDEX('Job setup'!B$7:B$11,MATCH("pre",'Job setup'!I$7:I$11,0)),"")="ON",IFERROR(INDEX('Job setup'!C$7:C$11,MATCH("pre",'Job setup'!I$7:I$11,0)),"")&lt;=AI$6,IFERROR(INDEX('Job setup'!D$7:D$11,MATCH("pre",'Job setup'!I$7:I$11,0)),"")&gt;=AI$6),OR(IFERROR(INDEX('Job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setup'!I$7:I$11,0)),"")&lt;=AI$6,IFERROR(INDEX('Job setup'!D$7:D$11,MATCH("oil-out",'Job setup'!I$7:I$11,0)),"")&gt;=AI$6),OR(IFERROR(INDEX('Job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setup'!I$7:I$11,0)),"")&lt;=AI$6,IFERROR(INDEX('Job setup'!D$7:D$11,MATCH("mech",'Job setup'!I$7:I$11,0)),"")&gt;=AI$6),OR(IFERROR(INDEX('Job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setup'!I$7:I$11,0)),"")&lt;=AI$6,IFERROR(INDEX('Job setup'!D$7:D$11,MATCH("oil-in",'Job setup'!I$7:I$11,0)),"")&gt;=AI$6),OR(IFERROR(INDEX('Job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setup'!I$7:I$11,0)),"")&lt;=AI$6,IFERROR(INDEX('Job setup'!D$7:D$11,MATCH("post",'Job setup'!I$7:I$11,0)),"")&gt;=AI$6),OR(IFERROR(INDEX('Job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8"),FALSE))))),MIN(8,AI17)*AI16,AI16*AI17)))),MAX(0,40*MAX(1,AI16)-(0)))))</f>
        <v>0</v>
      </c>
      <c r="AJ19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setup'!I$7:I$11,0)),"")&gt;=AJ$6)))),0,IF(WEEKDAY(AJ$6,1)=1,0,IF(WEEKDAY(AJ$6,1)=7,AJ16*AJ17,IF(IF(AND(IFERROR(INDEX('Job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8"),FALSE))))),MAX(0,AJ17-8)*AJ16,0))))+((IF(OR(AJ16&lt;=0,NOT(OR(AND(IFERROR(INDEX('Job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8"),FALSE))))),MIN(8,AJ17)*AJ16,AJ16*AJ17)))))-MIN(IF(OR(AJ16&lt;=0,NOT(OR(AND(IFERROR(INDEX('Job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setup'!I$7:I$11,0)),"")&gt;=AJ$6)))),0,IF(WEEKDAY(AJ$6,1)=1,0,IF(WEEKDAY(AJ$6,1)=7,0,IF(IF(AND(IFERROR(INDEX('Job setup'!B$7:B$11,MATCH("pre",'Job setup'!I$7:I$11,0)),"")="ON",IFERROR(INDEX('Job setup'!C$7:C$11,MATCH("pre",'Job setup'!I$7:I$11,0)),"")&lt;=AJ$6,IFERROR(INDEX('Job setup'!D$7:D$11,MATCH("pre",'Job setup'!I$7:I$11,0)),"")&gt;=AJ$6),OR(IFERROR(INDEX('Job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setup'!I$7:I$11,0)),"")&lt;=AJ$6,IFERROR(INDEX('Job setup'!D$7:D$11,MATCH("oil-out",'Job setup'!I$7:I$11,0)),"")&gt;=AJ$6),OR(IFERROR(INDEX('Job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setup'!I$7:I$11,0)),"")&lt;=AJ$6,IFERROR(INDEX('Job setup'!D$7:D$11,MATCH("mech",'Job setup'!I$7:I$11,0)),"")&gt;=AJ$6),OR(IFERROR(INDEX('Job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setup'!I$7:I$11,0)),"")&lt;=AJ$6,IFERROR(INDEX('Job setup'!D$7:D$11,MATCH("oil-in",'Job setup'!I$7:I$11,0)),"")&gt;=AJ$6),OR(IFERROR(INDEX('Job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setup'!I$7:I$11,0)),"")&lt;=AJ$6,IFERROR(INDEX('Job setup'!D$7:D$11,MATCH("post",'Job setup'!I$7:I$11,0)),"")&gt;=AJ$6),OR(IFERROR(INDEX('Job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8"),FALSE))))),MIN(8,AJ17)*AJ16,AJ16*AJ17)))),MAX(0,40*MAX(1,AJ16)-(AI18)))))</f>
        <v>0</v>
      </c>
      <c r="AK19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setup'!I$7:I$11,0)),"")&gt;=AK$6)))),0,IF(WEEKDAY(AK$6,1)=1,0,IF(WEEKDAY(AK$6,1)=7,AK16*AK17,IF(IF(AND(IFERROR(INDEX('Job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8"),FALSE))))),MAX(0,AK17-8)*AK16,0))))+((IF(OR(AK16&lt;=0,NOT(OR(AND(IFERROR(INDEX('Job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8"),FALSE))))),MIN(8,AK17)*AK16,AK16*AK17)))))-MIN(IF(OR(AK16&lt;=0,NOT(OR(AND(IFERROR(INDEX('Job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setup'!I$7:I$11,0)),"")&gt;=AK$6)))),0,IF(WEEKDAY(AK$6,1)=1,0,IF(WEEKDAY(AK$6,1)=7,0,IF(IF(AND(IFERROR(INDEX('Job setup'!B$7:B$11,MATCH("pre",'Job setup'!I$7:I$11,0)),"")="ON",IFERROR(INDEX('Job setup'!C$7:C$11,MATCH("pre",'Job setup'!I$7:I$11,0)),"")&lt;=AK$6,IFERROR(INDEX('Job setup'!D$7:D$11,MATCH("pre",'Job setup'!I$7:I$11,0)),"")&gt;=AK$6),OR(IFERROR(INDEX('Job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setup'!I$7:I$11,0)),"")&lt;=AK$6,IFERROR(INDEX('Job setup'!D$7:D$11,MATCH("oil-out",'Job setup'!I$7:I$11,0)),"")&gt;=AK$6),OR(IFERROR(INDEX('Job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setup'!I$7:I$11,0)),"")&lt;=AK$6,IFERROR(INDEX('Job setup'!D$7:D$11,MATCH("mech",'Job setup'!I$7:I$11,0)),"")&gt;=AK$6),OR(IFERROR(INDEX('Job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setup'!I$7:I$11,0)),"")&lt;=AK$6,IFERROR(INDEX('Job setup'!D$7:D$11,MATCH("oil-in",'Job setup'!I$7:I$11,0)),"")&gt;=AK$6),OR(IFERROR(INDEX('Job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setup'!I$7:I$11,0)),"")&lt;=AK$6,IFERROR(INDEX('Job setup'!D$7:D$11,MATCH("post",'Job setup'!I$7:I$11,0)),"")&gt;=AK$6),OR(IFERROR(INDEX('Job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8"),FALSE))))),MIN(8,AK17)*AK16,AK16*AK17)))),MAX(0,40*MAX(1,AK16)-(AI18+AJ18)))))</f>
        <v>0</v>
      </c>
      <c r="AL19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setup'!I$7:I$11,0)),"")&gt;=AL$6)))),0,IF(WEEKDAY(AL$6,1)=1,0,IF(WEEKDAY(AL$6,1)=7,AL16*AL17,IF(IF(AND(IFERROR(INDEX('Job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8"),FALSE))))),MAX(0,AL17-8)*AL16,0))))+((IF(OR(AL16&lt;=0,NOT(OR(AND(IFERROR(INDEX('Job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8"),FALSE))))),MIN(8,AL17)*AL16,AL16*AL17)))))-MIN(IF(OR(AL16&lt;=0,NOT(OR(AND(IFERROR(INDEX('Job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setup'!I$7:I$11,0)),"")&gt;=AL$6)))),0,IF(WEEKDAY(AL$6,1)=1,0,IF(WEEKDAY(AL$6,1)=7,0,IF(IF(AND(IFERROR(INDEX('Job setup'!B$7:B$11,MATCH("pre",'Job setup'!I$7:I$11,0)),"")="ON",IFERROR(INDEX('Job setup'!C$7:C$11,MATCH("pre",'Job setup'!I$7:I$11,0)),"")&lt;=AL$6,IFERROR(INDEX('Job setup'!D$7:D$11,MATCH("pre",'Job setup'!I$7:I$11,0)),"")&gt;=AL$6),OR(IFERROR(INDEX('Job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setup'!I$7:I$11,0)),"")&lt;=AL$6,IFERROR(INDEX('Job setup'!D$7:D$11,MATCH("oil-out",'Job setup'!I$7:I$11,0)),"")&gt;=AL$6),OR(IFERROR(INDEX('Job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setup'!I$7:I$11,0)),"")&lt;=AL$6,IFERROR(INDEX('Job setup'!D$7:D$11,MATCH("mech",'Job setup'!I$7:I$11,0)),"")&gt;=AL$6),OR(IFERROR(INDEX('Job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setup'!I$7:I$11,0)),"")&lt;=AL$6,IFERROR(INDEX('Job setup'!D$7:D$11,MATCH("oil-in",'Job setup'!I$7:I$11,0)),"")&gt;=AL$6),OR(IFERROR(INDEX('Job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setup'!I$7:I$11,0)),"")&lt;=AL$6,IFERROR(INDEX('Job setup'!D$7:D$11,MATCH("post",'Job setup'!I$7:I$11,0)),"")&gt;=AL$6),OR(IFERROR(INDEX('Job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8"),FALSE))))),MIN(8,AL17)*AL16,AL16*AL17)))),MAX(0,40*MAX(1,AL16)-(AI18+AJ18+AK18)))))</f>
        <v>0</v>
      </c>
      <c r="AM19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setup'!I$7:I$11,0)),"")&gt;=AM$6)))),0,IF(WEEKDAY(AM$6,1)=1,0,IF(WEEKDAY(AM$6,1)=7,AM16*AM17,IF(IF(AND(IFERROR(INDEX('Job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8"),FALSE))))),MAX(0,AM17-8)*AM16,0))))+((IF(OR(AM16&lt;=0,NOT(OR(AND(IFERROR(INDEX('Job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8"),FALSE))))),MIN(8,AM17)*AM16,AM16*AM17)))))-MIN(IF(OR(AM16&lt;=0,NOT(OR(AND(IFERROR(INDEX('Job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setup'!I$7:I$11,0)),"")&gt;=AM$6)))),0,IF(WEEKDAY(AM$6,1)=1,0,IF(WEEKDAY(AM$6,1)=7,0,IF(IF(AND(IFERROR(INDEX('Job setup'!B$7:B$11,MATCH("pre",'Job setup'!I$7:I$11,0)),"")="ON",IFERROR(INDEX('Job setup'!C$7:C$11,MATCH("pre",'Job setup'!I$7:I$11,0)),"")&lt;=AM$6,IFERROR(INDEX('Job setup'!D$7:D$11,MATCH("pre",'Job setup'!I$7:I$11,0)),"")&gt;=AM$6),OR(IFERROR(INDEX('Job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setup'!I$7:I$11,0)),"")&lt;=AM$6,IFERROR(INDEX('Job setup'!D$7:D$11,MATCH("oil-out",'Job setup'!I$7:I$11,0)),"")&gt;=AM$6),OR(IFERROR(INDEX('Job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setup'!I$7:I$11,0)),"")&lt;=AM$6,IFERROR(INDEX('Job setup'!D$7:D$11,MATCH("mech",'Job setup'!I$7:I$11,0)),"")&gt;=AM$6),OR(IFERROR(INDEX('Job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setup'!I$7:I$11,0)),"")&lt;=AM$6,IFERROR(INDEX('Job setup'!D$7:D$11,MATCH("oil-in",'Job setup'!I$7:I$11,0)),"")&gt;=AM$6),OR(IFERROR(INDEX('Job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setup'!I$7:I$11,0)),"")&lt;=AM$6,IFERROR(INDEX('Job setup'!D$7:D$11,MATCH("post",'Job setup'!I$7:I$11,0)),"")&gt;=AM$6),OR(IFERROR(INDEX('Job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8"),FALSE))))),MIN(8,AM17)*AM16,AM16*AM17)))),MAX(0,40*MAX(1,AM16)-(0)))))</f>
        <v>0</v>
      </c>
      <c r="AN19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setup'!I$7:I$11,0)),"")&gt;=AN$6)))),0,IF(WEEKDAY(AN$6,1)=1,0,IF(WEEKDAY(AN$6,1)=7,AN16*AN17,IF(IF(AND(IFERROR(INDEX('Job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8"),FALSE))))),MAX(0,AN17-8)*AN16,0))))+((IF(OR(AN16&lt;=0,NOT(OR(AND(IFERROR(INDEX('Job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8"),FALSE))))),MIN(8,AN17)*AN16,AN16*AN17)))))-MIN(IF(OR(AN16&lt;=0,NOT(OR(AND(IFERROR(INDEX('Job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setup'!I$7:I$11,0)),"")&gt;=AN$6)))),0,IF(WEEKDAY(AN$6,1)=1,0,IF(WEEKDAY(AN$6,1)=7,0,IF(IF(AND(IFERROR(INDEX('Job setup'!B$7:B$11,MATCH("pre",'Job setup'!I$7:I$11,0)),"")="ON",IFERROR(INDEX('Job setup'!C$7:C$11,MATCH("pre",'Job setup'!I$7:I$11,0)),"")&lt;=AN$6,IFERROR(INDEX('Job setup'!D$7:D$11,MATCH("pre",'Job setup'!I$7:I$11,0)),"")&gt;=AN$6),OR(IFERROR(INDEX('Job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setup'!I$7:I$11,0)),"")&lt;=AN$6,IFERROR(INDEX('Job setup'!D$7:D$11,MATCH("oil-out",'Job setup'!I$7:I$11,0)),"")&gt;=AN$6),OR(IFERROR(INDEX('Job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setup'!I$7:I$11,0)),"")&lt;=AN$6,IFERROR(INDEX('Job setup'!D$7:D$11,MATCH("mech",'Job setup'!I$7:I$11,0)),"")&gt;=AN$6),OR(IFERROR(INDEX('Job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setup'!I$7:I$11,0)),"")&lt;=AN$6,IFERROR(INDEX('Job setup'!D$7:D$11,MATCH("oil-in",'Job setup'!I$7:I$11,0)),"")&gt;=AN$6),OR(IFERROR(INDEX('Job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setup'!I$7:I$11,0)),"")&lt;=AN$6,IFERROR(INDEX('Job setup'!D$7:D$11,MATCH("post",'Job setup'!I$7:I$11,0)),"")&gt;=AN$6),OR(IFERROR(INDEX('Job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8"),FALSE))))),MIN(8,AN17)*AN16,AN16*AN17)))),MAX(0,40*MAX(1,AN16)-(AM18)))))</f>
        <v>0</v>
      </c>
      <c r="AO19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setup'!I$7:I$11,0)),"")&gt;=AO$6)))),0,IF(WEEKDAY(AO$6,1)=1,0,IF(WEEKDAY(AO$6,1)=7,AO16*AO17,IF(IF(AND(IFERROR(INDEX('Job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8"),FALSE))))),MAX(0,AO17-8)*AO16,0))))+((IF(OR(AO16&lt;=0,NOT(OR(AND(IFERROR(INDEX('Job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8"),FALSE))))),MIN(8,AO17)*AO16,AO16*AO17)))))-MIN(IF(OR(AO16&lt;=0,NOT(OR(AND(IFERROR(INDEX('Job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setup'!I$7:I$11,0)),"")&gt;=AO$6)))),0,IF(WEEKDAY(AO$6,1)=1,0,IF(WEEKDAY(AO$6,1)=7,0,IF(IF(AND(IFERROR(INDEX('Job setup'!B$7:B$11,MATCH("pre",'Job setup'!I$7:I$11,0)),"")="ON",IFERROR(INDEX('Job setup'!C$7:C$11,MATCH("pre",'Job setup'!I$7:I$11,0)),"")&lt;=AO$6,IFERROR(INDEX('Job setup'!D$7:D$11,MATCH("pre",'Job setup'!I$7:I$11,0)),"")&gt;=AO$6),OR(IFERROR(INDEX('Job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setup'!I$7:I$11,0)),"")&lt;=AO$6,IFERROR(INDEX('Job setup'!D$7:D$11,MATCH("oil-out",'Job setup'!I$7:I$11,0)),"")&gt;=AO$6),OR(IFERROR(INDEX('Job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setup'!I$7:I$11,0)),"")&lt;=AO$6,IFERROR(INDEX('Job setup'!D$7:D$11,MATCH("mech",'Job setup'!I$7:I$11,0)),"")&gt;=AO$6),OR(IFERROR(INDEX('Job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setup'!I$7:I$11,0)),"")&lt;=AO$6,IFERROR(INDEX('Job setup'!D$7:D$11,MATCH("oil-in",'Job setup'!I$7:I$11,0)),"")&gt;=AO$6),OR(IFERROR(INDEX('Job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setup'!I$7:I$11,0)),"")&lt;=AO$6,IFERROR(INDEX('Job setup'!D$7:D$11,MATCH("post",'Job setup'!I$7:I$11,0)),"")&gt;=AO$6),OR(IFERROR(INDEX('Job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8"),FALSE))))),MIN(8,AO17)*AO16,AO16*AO17)))),MAX(0,40*MAX(1,AO16)-(AM18+AN18)))))</f>
        <v>0</v>
      </c>
      <c r="AP19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setup'!I$7:I$11,0)),"")&gt;=AP$6)))),0,IF(WEEKDAY(AP$6,1)=1,0,IF(WEEKDAY(AP$6,1)=7,AP16*AP17,IF(IF(AND(IFERROR(INDEX('Job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8"),FALSE))))),MAX(0,AP17-8)*AP16,0))))+((IF(OR(AP16&lt;=0,NOT(OR(AND(IFERROR(INDEX('Job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8"),FALSE))))),MIN(8,AP17)*AP16,AP16*AP17)))))-MIN(IF(OR(AP16&lt;=0,NOT(OR(AND(IFERROR(INDEX('Job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setup'!I$7:I$11,0)),"")&gt;=AP$6)))),0,IF(WEEKDAY(AP$6,1)=1,0,IF(WEEKDAY(AP$6,1)=7,0,IF(IF(AND(IFERROR(INDEX('Job setup'!B$7:B$11,MATCH("pre",'Job setup'!I$7:I$11,0)),"")="ON",IFERROR(INDEX('Job setup'!C$7:C$11,MATCH("pre",'Job setup'!I$7:I$11,0)),"")&lt;=AP$6,IFERROR(INDEX('Job setup'!D$7:D$11,MATCH("pre",'Job setup'!I$7:I$11,0)),"")&gt;=AP$6),OR(IFERROR(INDEX('Job setup'!G$7:G$11,MATCH("pre",'Job setup'!I$7:I$11,0)),"")="YES",IFERROR(INDEX('Job setup'!H$7:H$11,MATCH("pre",'Job setup'!I$7:I$11,0)),"")="5×8 — OT after 8 hours",IFERROR(INDEX('Job setup'!H$7:H$11,MATCH("pre",'Job setup'!I$7:I$11,0)),"")="4×10 — OT after 8"),IF(AND(IFERROR(INDEX('Job setup'!B$7:B$11,MATCH("oil-out",'Job setup'!I$7:I$11,0)),"")="ON",IFERROR(INDEX('Job setup'!C$7:C$11,MATCH("oil-out",'Job setup'!I$7:I$11,0)),"")&lt;=AP$6,IFERROR(INDEX('Job setup'!D$7:D$11,MATCH("oil-out",'Job setup'!I$7:I$11,0)),"")&gt;=AP$6),OR(IFERROR(INDEX('Job setup'!G$7:G$11,MATCH("oil-out",'Job setup'!I$7:I$11,0)),"")="YES",IFERROR(INDEX('Job setup'!H$7:H$11,MATCH("oil-out",'Job setup'!I$7:I$11,0)),"")="5×8 — OT after 8 hours",IFERROR(INDEX('Job setup'!H$7:H$11,MATCH("oil-out",'Job setup'!I$7:I$11,0)),"")="4×10 — OT after 8"),IF(AND(IFERROR(INDEX('Job setup'!B$7:B$11,MATCH("mech",'Job setup'!I$7:I$11,0)),"")="ON",IFERROR(INDEX('Job setup'!C$7:C$11,MATCH("mech",'Job setup'!I$7:I$11,0)),"")&lt;=AP$6,IFERROR(INDEX('Job setup'!D$7:D$11,MATCH("mech",'Job setup'!I$7:I$11,0)),"")&gt;=AP$6),OR(IFERROR(INDEX('Job setup'!G$7:G$11,MATCH("mech",'Job setup'!I$7:I$11,0)),"")="YES",IFERROR(INDEX('Job setup'!H$7:H$11,MATCH("mech",'Job setup'!I$7:I$11,0)),"")="5×8 — OT after 8 hours",IFERROR(INDEX('Job setup'!H$7:H$11,MATCH("mech",'Job setup'!I$7:I$11,0)),"")="4×10 — OT after 8"),IF(AND(IFERROR(INDEX('Job setup'!B$7:B$11,MATCH("oil-in",'Job setup'!I$7:I$11,0)),"")="ON",IFERROR(INDEX('Job setup'!C$7:C$11,MATCH("oil-in",'Job setup'!I$7:I$11,0)),"")&lt;=AP$6,IFERROR(INDEX('Job setup'!D$7:D$11,MATCH("oil-in",'Job setup'!I$7:I$11,0)),"")&gt;=AP$6),OR(IFERROR(INDEX('Job setup'!G$7:G$11,MATCH("oil-in",'Job setup'!I$7:I$11,0)),"")="YES",IFERROR(INDEX('Job setup'!H$7:H$11,MATCH("oil-in",'Job setup'!I$7:I$11,0)),"")="5×8 — OT after 8 hours",IFERROR(INDEX('Job setup'!H$7:H$11,MATCH("oil-in",'Job setup'!I$7:I$11,0)),"")="4×10 — OT after 8"),IF(AND(IFERROR(INDEX('Job setup'!B$7:B$11,MATCH("post",'Job setup'!I$7:I$11,0)),"")="ON",IFERROR(INDEX('Job setup'!C$7:C$11,MATCH("post",'Job setup'!I$7:I$11,0)),"")&lt;=AP$6,IFERROR(INDEX('Job setup'!D$7:D$11,MATCH("post",'Job setup'!I$7:I$11,0)),"")&gt;=AP$6),OR(IFERROR(INDEX('Job setup'!G$7:G$11,MATCH("post",'Job setup'!I$7:I$11,0)),"")="YES",IFERROR(INDEX('Job setup'!H$7:H$11,MATCH("post",'Job setup'!I$7:I$11,0)),"")="5×8 — OT after 8 hours",IFERROR(INDEX('Job setup'!H$7:H$11,MATCH("post",'Job setup'!I$7:I$11,0)),"")="4×10 — OT after 8"),FALSE))))),MIN(8,AP17)*AP16,AP16*AP17)))),MAX(0,40*MAX(1,AP16)-(AM18+AN18+AO18)))))</f>
        <v>0</v>
      </c>
      <c r="OU19" s="28" t="s">
        <v>88</v>
      </c>
    </row>
    <row r="20" ht="16" customHeight="1" spans="1:411" x14ac:dyDescent="0.25">
      <c r="A20" s="72"/>
      <c r="B20" s="77"/>
      <c r="C20" s="59">
        <f>H15*N(D20)</f>
        <v>4732.5599999999995</v>
      </c>
      <c r="D20" s="59">
        <f>IF(TRIM(IF(TRIM(B19)&lt;&gt;"",B19,B15))="","No rate",IFERROR(INDEX('Rate Tables'!E$7:E$161,MATCH(IF(TRIM(B19)&lt;&gt;"",B19,B15),'Rate Tables'!A$7:A$161,0)),"No rate"))</f>
        <v>197.19</v>
      </c>
      <c r="E20" s="53" t="s">
        <v>64</v>
      </c>
      <c r="F20" s="47"/>
      <c r="G20" s="47"/>
      <c r="H20" s="47"/>
      <c r="I20" s="47"/>
      <c r="J20" s="48"/>
      <c r="K20" s="60">
        <f>IF(AND(K16=0,K17=0,AND(IFERROR(INDEX('Job setup'!B$7:B$11,MATCH("pre",'Job setup'!I$7:I$11,0)),"")="ON",IFERROR(INDEX('Job setup'!C$7:C$11,MATCH("pre",'Job setup'!I$7:I$11,0)),"")&lt;=K$6,IFERROR(INDEX('Job setup'!D$7:D$11,MATCH("pre",'Job setup'!I$7:I$11,0)),"")&gt;=K$6,IFERROR(INDEX('Job setup'!G$7:G$11,MATCH("pre",'Job setup'!I$7:I$11,0)),"")="YES",IFERROR(INDEX('Job setup'!H$7:H$11,MATCH("pre",'Job setup'!I$7:I$11,0)),"")="5×8 — OT after 8 hours")),0,IF(OR(K16&lt;=0,NOT(OR(AND(IFERROR(INDEX('Job setup'!B$7:B$11,MATCH("pre",'Job setup'!I$7:I$11,0)),"")="ON",IFERROR(INDEX('Job setup'!C$7:C$11,MATCH("pre",'Job setup'!I$7:I$11,0)),"")&lt;=K$6,IFERROR(INDEX('Job setup'!D$7:D$11,MATCH("pre",'Job setup'!I$7:I$11,0)),"")&gt;=K$6),AND(IFERROR(INDEX('Job setup'!B$7:B$11,MATCH("oil-out",'Job setup'!I$7:I$11,0)),"")="ON",IFERROR(INDEX('Job setup'!C$7:C$11,MATCH("oil-out",'Job setup'!I$7:I$11,0)),"")&lt;=K$6,IFERROR(INDEX('Job setup'!D$7:D$11,MATCH("oil-out",'Job setup'!I$7:I$11,0)),"")&gt;=K$6),AND(IFERROR(INDEX('Job setup'!B$7:B$11,MATCH("mech",'Job setup'!I$7:I$11,0)),"")="ON",IFERROR(INDEX('Job setup'!C$7:C$11,MATCH("mech",'Job setup'!I$7:I$11,0)),"")&lt;=K$6,IFERROR(INDEX('Job setup'!D$7:D$11,MATCH("mech",'Job setup'!I$7:I$11,0)),"")&gt;=K$6),AND(IFERROR(INDEX('Job setup'!B$7:B$11,MATCH("oil-in",'Job setup'!I$7:I$11,0)),"")="ON",IFERROR(INDEX('Job setup'!C$7:C$11,MATCH("oil-in",'Job setup'!I$7:I$11,0)),"")&lt;=K$6,IFERROR(INDEX('Job setup'!D$7:D$11,MATCH("oil-in",'Job setup'!I$7:I$11,0)),"")&gt;=K$6),AND(IFERROR(INDEX('Job setup'!B$7:B$11,MATCH("post",'Job setup'!I$7:I$11,0)),"")="ON",IFERROR(INDEX('Job setup'!C$7:C$11,MATCH("post",'Job setup'!I$7:I$11,0)),"")&lt;=K$6,IFERROR(INDEX('Job setup'!D$7:D$11,MATCH("post",'Job setup'!I$7:I$11,0)),"")&gt;=K$6)))),0,IF(WEEKDAY(K$6,1)=1,K16*K17,0)))</f>
        <v>0</v>
      </c>
      <c r="L20" s="61">
        <f>IF(AND(L16=0,L17=0,AND(IFERROR(INDEX('Job setup'!B$7:B$11,MATCH("pre",'Job setup'!I$7:I$11,0)),"")="ON",IFERROR(INDEX('Job setup'!C$7:C$11,MATCH("pre",'Job setup'!I$7:I$11,0)),"")&lt;=L$6,IFERROR(INDEX('Job setup'!D$7:D$11,MATCH("pre",'Job setup'!I$7:I$11,0)),"")&gt;=L$6,IFERROR(INDEX('Job setup'!G$7:G$11,MATCH("pre",'Job setup'!I$7:I$11,0)),"")="YES",IFERROR(INDEX('Job setup'!H$7:H$11,MATCH("pre",'Job setup'!I$7:I$11,0)),"")="5×8 — OT after 8 hours")),0,IF(OR(L16&lt;=0,NOT(OR(AND(IFERROR(INDEX('Job setup'!B$7:B$11,MATCH("pre",'Job setup'!I$7:I$11,0)),"")="ON",IFERROR(INDEX('Job setup'!C$7:C$11,MATCH("pre",'Job setup'!I$7:I$11,0)),"")&lt;=L$6,IFERROR(INDEX('Job setup'!D$7:D$11,MATCH("pre",'Job setup'!I$7:I$11,0)),"")&gt;=L$6),AND(IFERROR(INDEX('Job setup'!B$7:B$11,MATCH("oil-out",'Job setup'!I$7:I$11,0)),"")="ON",IFERROR(INDEX('Job setup'!C$7:C$11,MATCH("oil-out",'Job setup'!I$7:I$11,0)),"")&lt;=L$6,IFERROR(INDEX('Job setup'!D$7:D$11,MATCH("oil-out",'Job setup'!I$7:I$11,0)),"")&gt;=L$6),AND(IFERROR(INDEX('Job setup'!B$7:B$11,MATCH("mech",'Job setup'!I$7:I$11,0)),"")="ON",IFERROR(INDEX('Job setup'!C$7:C$11,MATCH("mech",'Job setup'!I$7:I$11,0)),"")&lt;=L$6,IFERROR(INDEX('Job setup'!D$7:D$11,MATCH("mech",'Job setup'!I$7:I$11,0)),"")&gt;=L$6),AND(IFERROR(INDEX('Job setup'!B$7:B$11,MATCH("oil-in",'Job setup'!I$7:I$11,0)),"")="ON",IFERROR(INDEX('Job setup'!C$7:C$11,MATCH("oil-in",'Job setup'!I$7:I$11,0)),"")&lt;=L$6,IFERROR(INDEX('Job setup'!D$7:D$11,MATCH("oil-in",'Job setup'!I$7:I$11,0)),"")&gt;=L$6),AND(IFERROR(INDEX('Job setup'!B$7:B$11,MATCH("post",'Job setup'!I$7:I$11,0)),"")="ON",IFERROR(INDEX('Job setup'!C$7:C$11,MATCH("post",'Job setup'!I$7:I$11,0)),"")&lt;=L$6,IFERROR(INDEX('Job setup'!D$7:D$11,MATCH("post",'Job setup'!I$7:I$11,0)),"")&gt;=L$6)))),0,IF(WEEKDAY(L$6,1)=1,L16*L17,0)))</f>
        <v>0</v>
      </c>
      <c r="M20" s="61">
        <f>IF(AND(M16=0,M17=0,AND(IFERROR(INDEX('Job setup'!B$7:B$11,MATCH("pre",'Job setup'!I$7:I$11,0)),"")="ON",IFERROR(INDEX('Job setup'!C$7:C$11,MATCH("pre",'Job setup'!I$7:I$11,0)),"")&lt;=M$6,IFERROR(INDEX('Job setup'!D$7:D$11,MATCH("pre",'Job setup'!I$7:I$11,0)),"")&gt;=M$6,IFERROR(INDEX('Job setup'!G$7:G$11,MATCH("pre",'Job setup'!I$7:I$11,0)),"")="YES",IFERROR(INDEX('Job setup'!H$7:H$11,MATCH("pre",'Job setup'!I$7:I$11,0)),"")="5×8 — OT after 8 hours")),0,IF(OR(M16&lt;=0,NOT(OR(AND(IFERROR(INDEX('Job setup'!B$7:B$11,MATCH("pre",'Job setup'!I$7:I$11,0)),"")="ON",IFERROR(INDEX('Job setup'!C$7:C$11,MATCH("pre",'Job setup'!I$7:I$11,0)),"")&lt;=M$6,IFERROR(INDEX('Job setup'!D$7:D$11,MATCH("pre",'Job setup'!I$7:I$11,0)),"")&gt;=M$6),AND(IFERROR(INDEX('Job setup'!B$7:B$11,MATCH("oil-out",'Job setup'!I$7:I$11,0)),"")="ON",IFERROR(INDEX('Job setup'!C$7:C$11,MATCH("oil-out",'Job setup'!I$7:I$11,0)),"")&lt;=M$6,IFERROR(INDEX('Job setup'!D$7:D$11,MATCH("oil-out",'Job setup'!I$7:I$11,0)),"")&gt;=M$6),AND(IFERROR(INDEX('Job setup'!B$7:B$11,MATCH("mech",'Job setup'!I$7:I$11,0)),"")="ON",IFERROR(INDEX('Job setup'!C$7:C$11,MATCH("mech",'Job setup'!I$7:I$11,0)),"")&lt;=M$6,IFERROR(INDEX('Job setup'!D$7:D$11,MATCH("mech",'Job setup'!I$7:I$11,0)),"")&gt;=M$6),AND(IFERROR(INDEX('Job setup'!B$7:B$11,MATCH("oil-in",'Job setup'!I$7:I$11,0)),"")="ON",IFERROR(INDEX('Job setup'!C$7:C$11,MATCH("oil-in",'Job setup'!I$7:I$11,0)),"")&lt;=M$6,IFERROR(INDEX('Job setup'!D$7:D$11,MATCH("oil-in",'Job setup'!I$7:I$11,0)),"")&gt;=M$6),AND(IFERROR(INDEX('Job setup'!B$7:B$11,MATCH("post",'Job setup'!I$7:I$11,0)),"")="ON",IFERROR(INDEX('Job setup'!C$7:C$11,MATCH("post",'Job setup'!I$7:I$11,0)),"")&lt;=M$6,IFERROR(INDEX('Job setup'!D$7:D$11,MATCH("post",'Job setup'!I$7:I$11,0)),"")&gt;=M$6)))),0,IF(WEEKDAY(M$6,1)=1,M16*M17,0)))</f>
        <v>0</v>
      </c>
      <c r="N20" s="61">
        <f>IF(AND(N16=0,N17=0,AND(IFERROR(INDEX('Job setup'!B$7:B$11,MATCH("pre",'Job setup'!I$7:I$11,0)),"")="ON",IFERROR(INDEX('Job setup'!C$7:C$11,MATCH("pre",'Job setup'!I$7:I$11,0)),"")&lt;=N$6,IFERROR(INDEX('Job setup'!D$7:D$11,MATCH("pre",'Job setup'!I$7:I$11,0)),"")&gt;=N$6,IFERROR(INDEX('Job setup'!G$7:G$11,MATCH("pre",'Job setup'!I$7:I$11,0)),"")="YES",IFERROR(INDEX('Job setup'!H$7:H$11,MATCH("pre",'Job setup'!I$7:I$11,0)),"")="5×8 — OT after 8 hours")),0,IF(OR(N16&lt;=0,NOT(OR(AND(IFERROR(INDEX('Job setup'!B$7:B$11,MATCH("pre",'Job setup'!I$7:I$11,0)),"")="ON",IFERROR(INDEX('Job setup'!C$7:C$11,MATCH("pre",'Job setup'!I$7:I$11,0)),"")&lt;=N$6,IFERROR(INDEX('Job setup'!D$7:D$11,MATCH("pre",'Job setup'!I$7:I$11,0)),"")&gt;=N$6),AND(IFERROR(INDEX('Job setup'!B$7:B$11,MATCH("oil-out",'Job setup'!I$7:I$11,0)),"")="ON",IFERROR(INDEX('Job setup'!C$7:C$11,MATCH("oil-out",'Job setup'!I$7:I$11,0)),"")&lt;=N$6,IFERROR(INDEX('Job setup'!D$7:D$11,MATCH("oil-out",'Job setup'!I$7:I$11,0)),"")&gt;=N$6),AND(IFERROR(INDEX('Job setup'!B$7:B$11,MATCH("mech",'Job setup'!I$7:I$11,0)),"")="ON",IFERROR(INDEX('Job setup'!C$7:C$11,MATCH("mech",'Job setup'!I$7:I$11,0)),"")&lt;=N$6,IFERROR(INDEX('Job setup'!D$7:D$11,MATCH("mech",'Job setup'!I$7:I$11,0)),"")&gt;=N$6),AND(IFERROR(INDEX('Job setup'!B$7:B$11,MATCH("oil-in",'Job setup'!I$7:I$11,0)),"")="ON",IFERROR(INDEX('Job setup'!C$7:C$11,MATCH("oil-in",'Job setup'!I$7:I$11,0)),"")&lt;=N$6,IFERROR(INDEX('Job setup'!D$7:D$11,MATCH("oil-in",'Job setup'!I$7:I$11,0)),"")&gt;=N$6),AND(IFERROR(INDEX('Job setup'!B$7:B$11,MATCH("post",'Job setup'!I$7:I$11,0)),"")="ON",IFERROR(INDEX('Job setup'!C$7:C$11,MATCH("post",'Job setup'!I$7:I$11,0)),"")&lt;=N$6,IFERROR(INDEX('Job setup'!D$7:D$11,MATCH("post",'Job setup'!I$7:I$11,0)),"")&gt;=N$6)))),0,IF(WEEKDAY(N$6,1)=1,N16*N17,0)))</f>
        <v>0</v>
      </c>
      <c r="O20" s="61">
        <f>IF(AND(O16=0,O17=0,AND(IFERROR(INDEX('Job setup'!B$7:B$11,MATCH("pre",'Job setup'!I$7:I$11,0)),"")="ON",IFERROR(INDEX('Job setup'!C$7:C$11,MATCH("pre",'Job setup'!I$7:I$11,0)),"")&lt;=O$6,IFERROR(INDEX('Job setup'!D$7:D$11,MATCH("pre",'Job setup'!I$7:I$11,0)),"")&gt;=O$6,IFERROR(INDEX('Job setup'!G$7:G$11,MATCH("pre",'Job setup'!I$7:I$11,0)),"")="YES",IFERROR(INDEX('Job setup'!H$7:H$11,MATCH("pre",'Job setup'!I$7:I$11,0)),"")="5×8 — OT after 8 hours")),0,IF(OR(O16&lt;=0,NOT(OR(AND(IFERROR(INDEX('Job setup'!B$7:B$11,MATCH("pre",'Job setup'!I$7:I$11,0)),"")="ON",IFERROR(INDEX('Job setup'!C$7:C$11,MATCH("pre",'Job setup'!I$7:I$11,0)),"")&lt;=O$6,IFERROR(INDEX('Job setup'!D$7:D$11,MATCH("pre",'Job setup'!I$7:I$11,0)),"")&gt;=O$6),AND(IFERROR(INDEX('Job setup'!B$7:B$11,MATCH("oil-out",'Job setup'!I$7:I$11,0)),"")="ON",IFERROR(INDEX('Job setup'!C$7:C$11,MATCH("oil-out",'Job setup'!I$7:I$11,0)),"")&lt;=O$6,IFERROR(INDEX('Job setup'!D$7:D$11,MATCH("oil-out",'Job setup'!I$7:I$11,0)),"")&gt;=O$6),AND(IFERROR(INDEX('Job setup'!B$7:B$11,MATCH("mech",'Job setup'!I$7:I$11,0)),"")="ON",IFERROR(INDEX('Job setup'!C$7:C$11,MATCH("mech",'Job setup'!I$7:I$11,0)),"")&lt;=O$6,IFERROR(INDEX('Job setup'!D$7:D$11,MATCH("mech",'Job setup'!I$7:I$11,0)),"")&gt;=O$6),AND(IFERROR(INDEX('Job setup'!B$7:B$11,MATCH("oil-in",'Job setup'!I$7:I$11,0)),"")="ON",IFERROR(INDEX('Job setup'!C$7:C$11,MATCH("oil-in",'Job setup'!I$7:I$11,0)),"")&lt;=O$6,IFERROR(INDEX('Job setup'!D$7:D$11,MATCH("oil-in",'Job setup'!I$7:I$11,0)),"")&gt;=O$6),AND(IFERROR(INDEX('Job setup'!B$7:B$11,MATCH("post",'Job setup'!I$7:I$11,0)),"")="ON",IFERROR(INDEX('Job setup'!C$7:C$11,MATCH("post",'Job setup'!I$7:I$11,0)),"")&lt;=O$6,IFERROR(INDEX('Job setup'!D$7:D$11,MATCH("post",'Job setup'!I$7:I$11,0)),"")&gt;=O$6)))),0,IF(WEEKDAY(O$6,1)=1,O16*O17,0)))</f>
        <v>0</v>
      </c>
      <c r="P20" s="62">
        <f>IF(AND(P16=0,P17=0,AND(IFERROR(INDEX('Job setup'!B$7:B$11,MATCH("pre",'Job setup'!I$7:I$11,0)),"")="ON",IFERROR(INDEX('Job setup'!C$7:C$11,MATCH("pre",'Job setup'!I$7:I$11,0)),"")&lt;=P$6,IFERROR(INDEX('Job setup'!D$7:D$11,MATCH("pre",'Job setup'!I$7:I$11,0)),"")&gt;=P$6,IFERROR(INDEX('Job setup'!G$7:G$11,MATCH("pre",'Job setup'!I$7:I$11,0)),"")="YES",IFERROR(INDEX('Job setup'!H$7:H$11,MATCH("pre",'Job setup'!I$7:I$11,0)),"")="5×8 — OT after 8 hours")),0,IF(OR(P16&lt;=0,NOT(OR(AND(IFERROR(INDEX('Job setup'!B$7:B$11,MATCH("pre",'Job setup'!I$7:I$11,0)),"")="ON",IFERROR(INDEX('Job setup'!C$7:C$11,MATCH("pre",'Job setup'!I$7:I$11,0)),"")&lt;=P$6,IFERROR(INDEX('Job setup'!D$7:D$11,MATCH("pre",'Job setup'!I$7:I$11,0)),"")&gt;=P$6),AND(IFERROR(INDEX('Job setup'!B$7:B$11,MATCH("oil-out",'Job setup'!I$7:I$11,0)),"")="ON",IFERROR(INDEX('Job setup'!C$7:C$11,MATCH("oil-out",'Job setup'!I$7:I$11,0)),"")&lt;=P$6,IFERROR(INDEX('Job setup'!D$7:D$11,MATCH("oil-out",'Job setup'!I$7:I$11,0)),"")&gt;=P$6),AND(IFERROR(INDEX('Job setup'!B$7:B$11,MATCH("mech",'Job setup'!I$7:I$11,0)),"")="ON",IFERROR(INDEX('Job setup'!C$7:C$11,MATCH("mech",'Job setup'!I$7:I$11,0)),"")&lt;=P$6,IFERROR(INDEX('Job setup'!D$7:D$11,MATCH("mech",'Job setup'!I$7:I$11,0)),"")&gt;=P$6),AND(IFERROR(INDEX('Job setup'!B$7:B$11,MATCH("oil-in",'Job setup'!I$7:I$11,0)),"")="ON",IFERROR(INDEX('Job setup'!C$7:C$11,MATCH("oil-in",'Job setup'!I$7:I$11,0)),"")&lt;=P$6,IFERROR(INDEX('Job setup'!D$7:D$11,MATCH("oil-in",'Job setup'!I$7:I$11,0)),"")&gt;=P$6),AND(IFERROR(INDEX('Job setup'!B$7:B$11,MATCH("post",'Job setup'!I$7:I$11,0)),"")="ON",IFERROR(INDEX('Job setup'!C$7:C$11,MATCH("post",'Job setup'!I$7:I$11,0)),"")&lt;=P$6,IFERROR(INDEX('Job setup'!D$7:D$11,MATCH("post",'Job setup'!I$7:I$11,0)),"")&gt;=P$6)))),0,IF(WEEKDAY(P$6,1)=1,P16*P17,0)))</f>
        <v>0</v>
      </c>
      <c r="Q20" s="62">
        <f>IF(AND(Q16=0,Q17=0,AND(IFERROR(INDEX('Job setup'!B$7:B$11,MATCH("pre",'Job setup'!I$7:I$11,0)),"")="ON",IFERROR(INDEX('Job setup'!C$7:C$11,MATCH("pre",'Job setup'!I$7:I$11,0)),"")&lt;=Q$6,IFERROR(INDEX('Job setup'!D$7:D$11,MATCH("pre",'Job setup'!I$7:I$11,0)),"")&gt;=Q$6,IFERROR(INDEX('Job setup'!G$7:G$11,MATCH("pre",'Job setup'!I$7:I$11,0)),"")="YES",IFERROR(INDEX('Job setup'!H$7:H$11,MATCH("pre",'Job setup'!I$7:I$11,0)),"")="5×8 — OT after 8 hours")),0,IF(OR(Q16&lt;=0,NOT(OR(AND(IFERROR(INDEX('Job setup'!B$7:B$11,MATCH("pre",'Job setup'!I$7:I$11,0)),"")="ON",IFERROR(INDEX('Job setup'!C$7:C$11,MATCH("pre",'Job setup'!I$7:I$11,0)),"")&lt;=Q$6,IFERROR(INDEX('Job setup'!D$7:D$11,MATCH("pre",'Job setup'!I$7:I$11,0)),"")&gt;=Q$6),AND(IFERROR(INDEX('Job setup'!B$7:B$11,MATCH("oil-out",'Job setup'!I$7:I$11,0)),"")="ON",IFERROR(INDEX('Job setup'!C$7:C$11,MATCH("oil-out",'Job setup'!I$7:I$11,0)),"")&lt;=Q$6,IFERROR(INDEX('Job setup'!D$7:D$11,MATCH("oil-out",'Job setup'!I$7:I$11,0)),"")&gt;=Q$6),AND(IFERROR(INDEX('Job setup'!B$7:B$11,MATCH("mech",'Job setup'!I$7:I$11,0)),"")="ON",IFERROR(INDEX('Job setup'!C$7:C$11,MATCH("mech",'Job setup'!I$7:I$11,0)),"")&lt;=Q$6,IFERROR(INDEX('Job setup'!D$7:D$11,MATCH("mech",'Job setup'!I$7:I$11,0)),"")&gt;=Q$6),AND(IFERROR(INDEX('Job setup'!B$7:B$11,MATCH("oil-in",'Job setup'!I$7:I$11,0)),"")="ON",IFERROR(INDEX('Job setup'!C$7:C$11,MATCH("oil-in",'Job setup'!I$7:I$11,0)),"")&lt;=Q$6,IFERROR(INDEX('Job setup'!D$7:D$11,MATCH("oil-in",'Job setup'!I$7:I$11,0)),"")&gt;=Q$6),AND(IFERROR(INDEX('Job setup'!B$7:B$11,MATCH("post",'Job setup'!I$7:I$11,0)),"")="ON",IFERROR(INDEX('Job setup'!C$7:C$11,MATCH("post",'Job setup'!I$7:I$11,0)),"")&lt;=Q$6,IFERROR(INDEX('Job setup'!D$7:D$11,MATCH("post",'Job setup'!I$7:I$11,0)),"")&gt;=Q$6)))),0,IF(WEEKDAY(Q$6,1)=1,Q16*Q17,0)))</f>
        <v>0</v>
      </c>
      <c r="R20" s="61">
        <f>IF(AND(R16=0,R17=0,AND(IFERROR(INDEX('Job setup'!B$7:B$11,MATCH("pre",'Job setup'!I$7:I$11,0)),"")="ON",IFERROR(INDEX('Job setup'!C$7:C$11,MATCH("pre",'Job setup'!I$7:I$11,0)),"")&lt;=R$6,IFERROR(INDEX('Job setup'!D$7:D$11,MATCH("pre",'Job setup'!I$7:I$11,0)),"")&gt;=R$6,IFERROR(INDEX('Job setup'!G$7:G$11,MATCH("pre",'Job setup'!I$7:I$11,0)),"")="YES",IFERROR(INDEX('Job setup'!H$7:H$11,MATCH("pre",'Job setup'!I$7:I$11,0)),"")="5×8 — OT after 8 hours")),0,IF(OR(R16&lt;=0,NOT(OR(AND(IFERROR(INDEX('Job setup'!B$7:B$11,MATCH("pre",'Job setup'!I$7:I$11,0)),"")="ON",IFERROR(INDEX('Job setup'!C$7:C$11,MATCH("pre",'Job setup'!I$7:I$11,0)),"")&lt;=R$6,IFERROR(INDEX('Job setup'!D$7:D$11,MATCH("pre",'Job setup'!I$7:I$11,0)),"")&gt;=R$6),AND(IFERROR(INDEX('Job setup'!B$7:B$11,MATCH("oil-out",'Job setup'!I$7:I$11,0)),"")="ON",IFERROR(INDEX('Job setup'!C$7:C$11,MATCH("oil-out",'Job setup'!I$7:I$11,0)),"")&lt;=R$6,IFERROR(INDEX('Job setup'!D$7:D$11,MATCH("oil-out",'Job setup'!I$7:I$11,0)),"")&gt;=R$6),AND(IFERROR(INDEX('Job setup'!B$7:B$11,MATCH("mech",'Job setup'!I$7:I$11,0)),"")="ON",IFERROR(INDEX('Job setup'!C$7:C$11,MATCH("mech",'Job setup'!I$7:I$11,0)),"")&lt;=R$6,IFERROR(INDEX('Job setup'!D$7:D$11,MATCH("mech",'Job setup'!I$7:I$11,0)),"")&gt;=R$6),AND(IFERROR(INDEX('Job setup'!B$7:B$11,MATCH("oil-in",'Job setup'!I$7:I$11,0)),"")="ON",IFERROR(INDEX('Job setup'!C$7:C$11,MATCH("oil-in",'Job setup'!I$7:I$11,0)),"")&lt;=R$6,IFERROR(INDEX('Job setup'!D$7:D$11,MATCH("oil-in",'Job setup'!I$7:I$11,0)),"")&gt;=R$6),AND(IFERROR(INDEX('Job setup'!B$7:B$11,MATCH("post",'Job setup'!I$7:I$11,0)),"")="ON",IFERROR(INDEX('Job setup'!C$7:C$11,MATCH("post",'Job setup'!I$7:I$11,0)),"")&lt;=R$6,IFERROR(INDEX('Job setup'!D$7:D$11,MATCH("post",'Job setup'!I$7:I$11,0)),"")&gt;=R$6)))),0,IF(WEEKDAY(R$6,1)=1,R16*R17,0)))</f>
        <v>0</v>
      </c>
      <c r="S20" s="61">
        <f>IF(AND(S16=0,S17=0,AND(IFERROR(INDEX('Job setup'!B$7:B$11,MATCH("pre",'Job setup'!I$7:I$11,0)),"")="ON",IFERROR(INDEX('Job setup'!C$7:C$11,MATCH("pre",'Job setup'!I$7:I$11,0)),"")&lt;=S$6,IFERROR(INDEX('Job setup'!D$7:D$11,MATCH("pre",'Job setup'!I$7:I$11,0)),"")&gt;=S$6,IFERROR(INDEX('Job setup'!G$7:G$11,MATCH("pre",'Job setup'!I$7:I$11,0)),"")="YES",IFERROR(INDEX('Job setup'!H$7:H$11,MATCH("pre",'Job setup'!I$7:I$11,0)),"")="5×8 — OT after 8 hours")),0,IF(OR(S16&lt;=0,NOT(OR(AND(IFERROR(INDEX('Job setup'!B$7:B$11,MATCH("pre",'Job setup'!I$7:I$11,0)),"")="ON",IFERROR(INDEX('Job setup'!C$7:C$11,MATCH("pre",'Job setup'!I$7:I$11,0)),"")&lt;=S$6,IFERROR(INDEX('Job setup'!D$7:D$11,MATCH("pre",'Job setup'!I$7:I$11,0)),"")&gt;=S$6),AND(IFERROR(INDEX('Job setup'!B$7:B$11,MATCH("oil-out",'Job setup'!I$7:I$11,0)),"")="ON",IFERROR(INDEX('Job setup'!C$7:C$11,MATCH("oil-out",'Job setup'!I$7:I$11,0)),"")&lt;=S$6,IFERROR(INDEX('Job setup'!D$7:D$11,MATCH("oil-out",'Job setup'!I$7:I$11,0)),"")&gt;=S$6),AND(IFERROR(INDEX('Job setup'!B$7:B$11,MATCH("mech",'Job setup'!I$7:I$11,0)),"")="ON",IFERROR(INDEX('Job setup'!C$7:C$11,MATCH("mech",'Job setup'!I$7:I$11,0)),"")&lt;=S$6,IFERROR(INDEX('Job setup'!D$7:D$11,MATCH("mech",'Job setup'!I$7:I$11,0)),"")&gt;=S$6),AND(IFERROR(INDEX('Job setup'!B$7:B$11,MATCH("oil-in",'Job setup'!I$7:I$11,0)),"")="ON",IFERROR(INDEX('Job setup'!C$7:C$11,MATCH("oil-in",'Job setup'!I$7:I$11,0)),"")&lt;=S$6,IFERROR(INDEX('Job setup'!D$7:D$11,MATCH("oil-in",'Job setup'!I$7:I$11,0)),"")&gt;=S$6),AND(IFERROR(INDEX('Job setup'!B$7:B$11,MATCH("post",'Job setup'!I$7:I$11,0)),"")="ON",IFERROR(INDEX('Job setup'!C$7:C$11,MATCH("post",'Job setup'!I$7:I$11,0)),"")&lt;=S$6,IFERROR(INDEX('Job setup'!D$7:D$11,MATCH("post",'Job setup'!I$7:I$11,0)),"")&gt;=S$6)))),0,IF(WEEKDAY(S$6,1)=1,S16*S17,0)))</f>
        <v>0</v>
      </c>
      <c r="T20" s="61">
        <f>IF(AND(T16=0,T17=0,AND(IFERROR(INDEX('Job setup'!B$7:B$11,MATCH("pre",'Job setup'!I$7:I$11,0)),"")="ON",IFERROR(INDEX('Job setup'!C$7:C$11,MATCH("pre",'Job setup'!I$7:I$11,0)),"")&lt;=T$6,IFERROR(INDEX('Job setup'!D$7:D$11,MATCH("pre",'Job setup'!I$7:I$11,0)),"")&gt;=T$6,IFERROR(INDEX('Job setup'!G$7:G$11,MATCH("pre",'Job setup'!I$7:I$11,0)),"")="YES",IFERROR(INDEX('Job setup'!H$7:H$11,MATCH("pre",'Job setup'!I$7:I$11,0)),"")="5×8 — OT after 8 hours")),0,IF(OR(T16&lt;=0,NOT(OR(AND(IFERROR(INDEX('Job setup'!B$7:B$11,MATCH("pre",'Job setup'!I$7:I$11,0)),"")="ON",IFERROR(INDEX('Job setup'!C$7:C$11,MATCH("pre",'Job setup'!I$7:I$11,0)),"")&lt;=T$6,IFERROR(INDEX('Job setup'!D$7:D$11,MATCH("pre",'Job setup'!I$7:I$11,0)),"")&gt;=T$6),AND(IFERROR(INDEX('Job setup'!B$7:B$11,MATCH("oil-out",'Job setup'!I$7:I$11,0)),"")="ON",IFERROR(INDEX('Job setup'!C$7:C$11,MATCH("oil-out",'Job setup'!I$7:I$11,0)),"")&lt;=T$6,IFERROR(INDEX('Job setup'!D$7:D$11,MATCH("oil-out",'Job setup'!I$7:I$11,0)),"")&gt;=T$6),AND(IFERROR(INDEX('Job setup'!B$7:B$11,MATCH("mech",'Job setup'!I$7:I$11,0)),"")="ON",IFERROR(INDEX('Job setup'!C$7:C$11,MATCH("mech",'Job setup'!I$7:I$11,0)),"")&lt;=T$6,IFERROR(INDEX('Job setup'!D$7:D$11,MATCH("mech",'Job setup'!I$7:I$11,0)),"")&gt;=T$6),AND(IFERROR(INDEX('Job setup'!B$7:B$11,MATCH("oil-in",'Job setup'!I$7:I$11,0)),"")="ON",IFERROR(INDEX('Job setup'!C$7:C$11,MATCH("oil-in",'Job setup'!I$7:I$11,0)),"")&lt;=T$6,IFERROR(INDEX('Job setup'!D$7:D$11,MATCH("oil-in",'Job setup'!I$7:I$11,0)),"")&gt;=T$6),AND(IFERROR(INDEX('Job setup'!B$7:B$11,MATCH("post",'Job setup'!I$7:I$11,0)),"")="ON",IFERROR(INDEX('Job setup'!C$7:C$11,MATCH("post",'Job setup'!I$7:I$11,0)),"")&lt;=T$6,IFERROR(INDEX('Job setup'!D$7:D$11,MATCH("post",'Job setup'!I$7:I$11,0)),"")&gt;=T$6)))),0,IF(WEEKDAY(T$6,1)=1,T16*T17,0)))</f>
        <v>0</v>
      </c>
      <c r="U20" s="61">
        <f>IF(AND(U16=1,U17=12,AND(IFERROR(INDEX('Job setup'!B$7:B$11,MATCH("mech",'Job setup'!I$7:I$11,0)),"")="ON",IFERROR(INDEX('Job setup'!C$7:C$11,MATCH("mech",'Job setup'!I$7:I$11,0)),"")&lt;=U$6,IFERROR(INDEX('Job setup'!D$7:D$11,MATCH("mech",'Job setup'!I$7:I$11,0)),"")&gt;=U$6,IFERROR(INDEX('Job setup'!G$7:G$11,MATCH("mech",'Job setup'!I$7:I$11,0)),"")="NO",OR(IFERROR(INDEX('Job setup'!H$7:H$11,MATCH("mech",'Job setup'!I$7:I$11,0)),"")="",IFERROR(INDEX('Job setup'!H$7:H$11,MATCH("mech",'Job setup'!I$7:I$11,0)),"")=0))),0,IF(OR(U16&lt;=0,NOT(OR(AND(IFERROR(INDEX('Job setup'!B$7:B$11,MATCH("pre",'Job setup'!I$7:I$11,0)),"")="ON",IFERROR(INDEX('Job setup'!C$7:C$11,MATCH("pre",'Job setup'!I$7:I$11,0)),"")&lt;=U$6,IFERROR(INDEX('Job setup'!D$7:D$11,MATCH("pre",'Job setup'!I$7:I$11,0)),"")&gt;=U$6),AND(IFERROR(INDEX('Job setup'!B$7:B$11,MATCH("oil-out",'Job setup'!I$7:I$11,0)),"")="ON",IFERROR(INDEX('Job setup'!C$7:C$11,MATCH("oil-out",'Job setup'!I$7:I$11,0)),"")&lt;=U$6,IFERROR(INDEX('Job setup'!D$7:D$11,MATCH("oil-out",'Job setup'!I$7:I$11,0)),"")&gt;=U$6),AND(IFERROR(INDEX('Job setup'!B$7:B$11,MATCH("mech",'Job setup'!I$7:I$11,0)),"")="ON",IFERROR(INDEX('Job setup'!C$7:C$11,MATCH("mech",'Job setup'!I$7:I$11,0)),"")&lt;=U$6,IFERROR(INDEX('Job setup'!D$7:D$11,MATCH("mech",'Job setup'!I$7:I$11,0)),"")&gt;=U$6),AND(IFERROR(INDEX('Job setup'!B$7:B$11,MATCH("oil-in",'Job setup'!I$7:I$11,0)),"")="ON",IFERROR(INDEX('Job setup'!C$7:C$11,MATCH("oil-in",'Job setup'!I$7:I$11,0)),"")&lt;=U$6,IFERROR(INDEX('Job setup'!D$7:D$11,MATCH("oil-in",'Job setup'!I$7:I$11,0)),"")&gt;=U$6),AND(IFERROR(INDEX('Job setup'!B$7:B$11,MATCH("post",'Job setup'!I$7:I$11,0)),"")="ON",IFERROR(INDEX('Job setup'!C$7:C$11,MATCH("post",'Job setup'!I$7:I$11,0)),"")&lt;=U$6,IFERROR(INDEX('Job setup'!D$7:D$11,MATCH("post",'Job setup'!I$7:I$11,0)),"")&gt;=U$6)))),0,IF(WEEKDAY(U$6,1)=1,U16*U17,0)))</f>
        <v>0</v>
      </c>
      <c r="V20" s="61">
        <f>IF(AND(V16=1,V17=12,AND(IFERROR(INDEX('Job setup'!B$7:B$11,MATCH("mech",'Job setup'!I$7:I$11,0)),"")="ON",IFERROR(INDEX('Job setup'!C$7:C$11,MATCH("mech",'Job setup'!I$7:I$11,0)),"")&lt;=V$6,IFERROR(INDEX('Job setup'!D$7:D$11,MATCH("mech",'Job setup'!I$7:I$11,0)),"")&gt;=V$6,IFERROR(INDEX('Job setup'!G$7:G$11,MATCH("mech",'Job setup'!I$7:I$11,0)),"")="NO",OR(IFERROR(INDEX('Job setup'!H$7:H$11,MATCH("mech",'Job setup'!I$7:I$11,0)),"")="",IFERROR(INDEX('Job setup'!H$7:H$11,MATCH("mech",'Job setup'!I$7:I$11,0)),"")=0))),0,IF(OR(V16&lt;=0,NOT(OR(AND(IFERROR(INDEX('Job setup'!B$7:B$11,MATCH("pre",'Job setup'!I$7:I$11,0)),"")="ON",IFERROR(INDEX('Job setup'!C$7:C$11,MATCH("pre",'Job setup'!I$7:I$11,0)),"")&lt;=V$6,IFERROR(INDEX('Job setup'!D$7:D$11,MATCH("pre",'Job setup'!I$7:I$11,0)),"")&gt;=V$6),AND(IFERROR(INDEX('Job setup'!B$7:B$11,MATCH("oil-out",'Job setup'!I$7:I$11,0)),"")="ON",IFERROR(INDEX('Job setup'!C$7:C$11,MATCH("oil-out",'Job setup'!I$7:I$11,0)),"")&lt;=V$6,IFERROR(INDEX('Job setup'!D$7:D$11,MATCH("oil-out",'Job setup'!I$7:I$11,0)),"")&gt;=V$6),AND(IFERROR(INDEX('Job setup'!B$7:B$11,MATCH("mech",'Job setup'!I$7:I$11,0)),"")="ON",IFERROR(INDEX('Job setup'!C$7:C$11,MATCH("mech",'Job setup'!I$7:I$11,0)),"")&lt;=V$6,IFERROR(INDEX('Job setup'!D$7:D$11,MATCH("mech",'Job setup'!I$7:I$11,0)),"")&gt;=V$6),AND(IFERROR(INDEX('Job setup'!B$7:B$11,MATCH("oil-in",'Job setup'!I$7:I$11,0)),"")="ON",IFERROR(INDEX('Job setup'!C$7:C$11,MATCH("oil-in",'Job setup'!I$7:I$11,0)),"")&lt;=V$6,IFERROR(INDEX('Job setup'!D$7:D$11,MATCH("oil-in",'Job setup'!I$7:I$11,0)),"")&gt;=V$6),AND(IFERROR(INDEX('Job setup'!B$7:B$11,MATCH("post",'Job setup'!I$7:I$11,0)),"")="ON",IFERROR(INDEX('Job setup'!C$7:C$11,MATCH("post",'Job setup'!I$7:I$11,0)),"")&lt;=V$6,IFERROR(INDEX('Job setup'!D$7:D$11,MATCH("post",'Job setup'!I$7:I$11,0)),"")&gt;=V$6)))),0,IF(WEEKDAY(V$6,1)=1,V16*V17,0)))</f>
        <v>0</v>
      </c>
      <c r="W20" s="62">
        <f>IF(AND(W16=1,W17=12,AND(IFERROR(INDEX('Job setup'!B$7:B$11,MATCH("mech",'Job setup'!I$7:I$11,0)),"")="ON",IFERROR(INDEX('Job setup'!C$7:C$11,MATCH("mech",'Job setup'!I$7:I$11,0)),"")&lt;=W$6,IFERROR(INDEX('Job setup'!D$7:D$11,MATCH("mech",'Job setup'!I$7:I$11,0)),"")&gt;=W$6,IFERROR(INDEX('Job setup'!G$7:G$11,MATCH("mech",'Job setup'!I$7:I$11,0)),"")="NO",OR(IFERROR(INDEX('Job setup'!H$7:H$11,MATCH("mech",'Job setup'!I$7:I$11,0)),"")="",IFERROR(INDEX('Job setup'!H$7:H$11,MATCH("mech",'Job setup'!I$7:I$11,0)),"")=0))),0,IF(OR(W16&lt;=0,NOT(OR(AND(IFERROR(INDEX('Job setup'!B$7:B$11,MATCH("pre",'Job setup'!I$7:I$11,0)),"")="ON",IFERROR(INDEX('Job setup'!C$7:C$11,MATCH("pre",'Job setup'!I$7:I$11,0)),"")&lt;=W$6,IFERROR(INDEX('Job setup'!D$7:D$11,MATCH("pre",'Job setup'!I$7:I$11,0)),"")&gt;=W$6),AND(IFERROR(INDEX('Job setup'!B$7:B$11,MATCH("oil-out",'Job setup'!I$7:I$11,0)),"")="ON",IFERROR(INDEX('Job setup'!C$7:C$11,MATCH("oil-out",'Job setup'!I$7:I$11,0)),"")&lt;=W$6,IFERROR(INDEX('Job setup'!D$7:D$11,MATCH("oil-out",'Job setup'!I$7:I$11,0)),"")&gt;=W$6),AND(IFERROR(INDEX('Job setup'!B$7:B$11,MATCH("mech",'Job setup'!I$7:I$11,0)),"")="ON",IFERROR(INDEX('Job setup'!C$7:C$11,MATCH("mech",'Job setup'!I$7:I$11,0)),"")&lt;=W$6,IFERROR(INDEX('Job setup'!D$7:D$11,MATCH("mech",'Job setup'!I$7:I$11,0)),"")&gt;=W$6),AND(IFERROR(INDEX('Job setup'!B$7:B$11,MATCH("oil-in",'Job setup'!I$7:I$11,0)),"")="ON",IFERROR(INDEX('Job setup'!C$7:C$11,MATCH("oil-in",'Job setup'!I$7:I$11,0)),"")&lt;=W$6,IFERROR(INDEX('Job setup'!D$7:D$11,MATCH("oil-in",'Job setup'!I$7:I$11,0)),"")&gt;=W$6),AND(IFERROR(INDEX('Job setup'!B$7:B$11,MATCH("post",'Job setup'!I$7:I$11,0)),"")="ON",IFERROR(INDEX('Job setup'!C$7:C$11,MATCH("post",'Job setup'!I$7:I$11,0)),"")&lt;=W$6,IFERROR(INDEX('Job setup'!D$7:D$11,MATCH("post",'Job setup'!I$7:I$11,0)),"")&gt;=W$6)))),0,IF(WEEKDAY(W$6,1)=1,W16*W17,0)))</f>
        <v>0</v>
      </c>
      <c r="X20" s="62">
        <f>IF(AND(X16=1,X17=12,AND(IFERROR(INDEX('Job setup'!B$7:B$11,MATCH("mech",'Job setup'!I$7:I$11,0)),"")="ON",IFERROR(INDEX('Job setup'!C$7:C$11,MATCH("mech",'Job setup'!I$7:I$11,0)),"")&lt;=X$6,IFERROR(INDEX('Job setup'!D$7:D$11,MATCH("mech",'Job setup'!I$7:I$11,0)),"")&gt;=X$6,IFERROR(INDEX('Job setup'!G$7:G$11,MATCH("mech",'Job setup'!I$7:I$11,0)),"")="NO",OR(IFERROR(INDEX('Job setup'!H$7:H$11,MATCH("mech",'Job setup'!I$7:I$11,0)),"")="",IFERROR(INDEX('Job setup'!H$7:H$11,MATCH("mech",'Job setup'!I$7:I$11,0)),"")=0))),12,IF(OR(X16&lt;=0,NOT(OR(AND(IFERROR(INDEX('Job setup'!B$7:B$11,MATCH("pre",'Job setup'!I$7:I$11,0)),"")="ON",IFERROR(INDEX('Job setup'!C$7:C$11,MATCH("pre",'Job setup'!I$7:I$11,0)),"")&lt;=X$6,IFERROR(INDEX('Job setup'!D$7:D$11,MATCH("pre",'Job setup'!I$7:I$11,0)),"")&gt;=X$6),AND(IFERROR(INDEX('Job setup'!B$7:B$11,MATCH("oil-out",'Job setup'!I$7:I$11,0)),"")="ON",IFERROR(INDEX('Job setup'!C$7:C$11,MATCH("oil-out",'Job setup'!I$7:I$11,0)),"")&lt;=X$6,IFERROR(INDEX('Job setup'!D$7:D$11,MATCH("oil-out",'Job setup'!I$7:I$11,0)),"")&gt;=X$6),AND(IFERROR(INDEX('Job setup'!B$7:B$11,MATCH("mech",'Job setup'!I$7:I$11,0)),"")="ON",IFERROR(INDEX('Job setup'!C$7:C$11,MATCH("mech",'Job setup'!I$7:I$11,0)),"")&lt;=X$6,IFERROR(INDEX('Job setup'!D$7:D$11,MATCH("mech",'Job setup'!I$7:I$11,0)),"")&gt;=X$6),AND(IFERROR(INDEX('Job setup'!B$7:B$11,MATCH("oil-in",'Job setup'!I$7:I$11,0)),"")="ON",IFERROR(INDEX('Job setup'!C$7:C$11,MATCH("oil-in",'Job setup'!I$7:I$11,0)),"")&lt;=X$6,IFERROR(INDEX('Job setup'!D$7:D$11,MATCH("oil-in",'Job setup'!I$7:I$11,0)),"")&gt;=X$6),AND(IFERROR(INDEX('Job setup'!B$7:B$11,MATCH("post",'Job setup'!I$7:I$11,0)),"")="ON",IFERROR(INDEX('Job setup'!C$7:C$11,MATCH("post",'Job setup'!I$7:I$11,0)),"")&lt;=X$6,IFERROR(INDEX('Job setup'!D$7:D$11,MATCH("post",'Job setup'!I$7:I$11,0)),"")&gt;=X$6)))),0,IF(WEEKDAY(X$6,1)=1,X16*X17,0)))</f>
        <v>12</v>
      </c>
      <c r="Y20" s="61">
        <f>IF(AND(Y16=1,Y17=12,AND(IFERROR(INDEX('Job setup'!B$7:B$11,MATCH("mech",'Job setup'!I$7:I$11,0)),"")="ON",IFERROR(INDEX('Job setup'!C$7:C$11,MATCH("mech",'Job setup'!I$7:I$11,0)),"")&lt;=Y$6,IFERROR(INDEX('Job setup'!D$7:D$11,MATCH("mech",'Job setup'!I$7:I$11,0)),"")&gt;=Y$6,IFERROR(INDEX('Job setup'!G$7:G$11,MATCH("mech",'Job setup'!I$7:I$11,0)),"")="NO",OR(IFERROR(INDEX('Job setup'!H$7:H$11,MATCH("mech",'Job setup'!I$7:I$11,0)),"")="",IFERROR(INDEX('Job setup'!H$7:H$11,MATCH("mech",'Job setup'!I$7:I$11,0)),"")=0))),0,IF(OR(Y16&lt;=0,NOT(OR(AND(IFERROR(INDEX('Job setup'!B$7:B$11,MATCH("pre",'Job setup'!I$7:I$11,0)),"")="ON",IFERROR(INDEX('Job setup'!C$7:C$11,MATCH("pre",'Job setup'!I$7:I$11,0)),"")&lt;=Y$6,IFERROR(INDEX('Job setup'!D$7:D$11,MATCH("pre",'Job setup'!I$7:I$11,0)),"")&gt;=Y$6),AND(IFERROR(INDEX('Job setup'!B$7:B$11,MATCH("oil-out",'Job setup'!I$7:I$11,0)),"")="ON",IFERROR(INDEX('Job setup'!C$7:C$11,MATCH("oil-out",'Job setup'!I$7:I$11,0)),"")&lt;=Y$6,IFERROR(INDEX('Job setup'!D$7:D$11,MATCH("oil-out",'Job setup'!I$7:I$11,0)),"")&gt;=Y$6),AND(IFERROR(INDEX('Job setup'!B$7:B$11,MATCH("mech",'Job setup'!I$7:I$11,0)),"")="ON",IFERROR(INDEX('Job setup'!C$7:C$11,MATCH("mech",'Job setup'!I$7:I$11,0)),"")&lt;=Y$6,IFERROR(INDEX('Job setup'!D$7:D$11,MATCH("mech",'Job setup'!I$7:I$11,0)),"")&gt;=Y$6),AND(IFERROR(INDEX('Job setup'!B$7:B$11,MATCH("oil-in",'Job setup'!I$7:I$11,0)),"")="ON",IFERROR(INDEX('Job setup'!C$7:C$11,MATCH("oil-in",'Job setup'!I$7:I$11,0)),"")&lt;=Y$6,IFERROR(INDEX('Job setup'!D$7:D$11,MATCH("oil-in",'Job setup'!I$7:I$11,0)),"")&gt;=Y$6),AND(IFERROR(INDEX('Job setup'!B$7:B$11,MATCH("post",'Job setup'!I$7:I$11,0)),"")="ON",IFERROR(INDEX('Job setup'!C$7:C$11,MATCH("post",'Job setup'!I$7:I$11,0)),"")&lt;=Y$6,IFERROR(INDEX('Job setup'!D$7:D$11,MATCH("post",'Job setup'!I$7:I$11,0)),"")&gt;=Y$6)))),0,IF(WEEKDAY(Y$6,1)=1,Y16*Y17,0)))</f>
        <v>0</v>
      </c>
      <c r="Z20" s="61">
        <f>IF(AND(Z16=1,Z17=12,AND(IFERROR(INDEX('Job setup'!B$7:B$11,MATCH("mech",'Job setup'!I$7:I$11,0)),"")="ON",IFERROR(INDEX('Job setup'!C$7:C$11,MATCH("mech",'Job setup'!I$7:I$11,0)),"")&lt;=Z$6,IFERROR(INDEX('Job setup'!D$7:D$11,MATCH("mech",'Job setup'!I$7:I$11,0)),"")&gt;=Z$6,IFERROR(INDEX('Job setup'!G$7:G$11,MATCH("mech",'Job setup'!I$7:I$11,0)),"")="NO",OR(IFERROR(INDEX('Job setup'!H$7:H$11,MATCH("mech",'Job setup'!I$7:I$11,0)),"")="",IFERROR(INDEX('Job setup'!H$7:H$11,MATCH("mech",'Job setup'!I$7:I$11,0)),"")=0))),0,IF(OR(Z16&lt;=0,NOT(OR(AND(IFERROR(INDEX('Job setup'!B$7:B$11,MATCH("pre",'Job setup'!I$7:I$11,0)),"")="ON",IFERROR(INDEX('Job setup'!C$7:C$11,MATCH("pre",'Job setup'!I$7:I$11,0)),"")&lt;=Z$6,IFERROR(INDEX('Job setup'!D$7:D$11,MATCH("pre",'Job setup'!I$7:I$11,0)),"")&gt;=Z$6),AND(IFERROR(INDEX('Job setup'!B$7:B$11,MATCH("oil-out",'Job setup'!I$7:I$11,0)),"")="ON",IFERROR(INDEX('Job setup'!C$7:C$11,MATCH("oil-out",'Job setup'!I$7:I$11,0)),"")&lt;=Z$6,IFERROR(INDEX('Job setup'!D$7:D$11,MATCH("oil-out",'Job setup'!I$7:I$11,0)),"")&gt;=Z$6),AND(IFERROR(INDEX('Job setup'!B$7:B$11,MATCH("mech",'Job setup'!I$7:I$11,0)),"")="ON",IFERROR(INDEX('Job setup'!C$7:C$11,MATCH("mech",'Job setup'!I$7:I$11,0)),"")&lt;=Z$6,IFERROR(INDEX('Job setup'!D$7:D$11,MATCH("mech",'Job setup'!I$7:I$11,0)),"")&gt;=Z$6),AND(IFERROR(INDEX('Job setup'!B$7:B$11,MATCH("oil-in",'Job setup'!I$7:I$11,0)),"")="ON",IFERROR(INDEX('Job setup'!C$7:C$11,MATCH("oil-in",'Job setup'!I$7:I$11,0)),"")&lt;=Z$6,IFERROR(INDEX('Job setup'!D$7:D$11,MATCH("oil-in",'Job setup'!I$7:I$11,0)),"")&gt;=Z$6),AND(IFERROR(INDEX('Job setup'!B$7:B$11,MATCH("post",'Job setup'!I$7:I$11,0)),"")="ON",IFERROR(INDEX('Job setup'!C$7:C$11,MATCH("post",'Job setup'!I$7:I$11,0)),"")&lt;=Z$6,IFERROR(INDEX('Job setup'!D$7:D$11,MATCH("post",'Job setup'!I$7:I$11,0)),"")&gt;=Z$6)))),0,IF(WEEKDAY(Z$6,1)=1,Z16*Z17,0)))</f>
        <v>0</v>
      </c>
      <c r="AA20" s="61">
        <f>IF(AND(AA16=1,AA17=12,AND(IFERROR(INDEX('Job setup'!B$7:B$11,MATCH("mech",'Job setup'!I$7:I$11,0)),"")="ON",IFERROR(INDEX('Job setup'!C$7:C$11,MATCH("mech",'Job setup'!I$7:I$11,0)),"")&lt;=AA$6,IFERROR(INDEX('Job setup'!D$7:D$11,MATCH("mech",'Job setup'!I$7:I$11,0)),"")&gt;=AA$6,IFERROR(INDEX('Job setup'!G$7:G$11,MATCH("mech",'Job setup'!I$7:I$11,0)),"")="NO",OR(IFERROR(INDEX('Job setup'!H$7:H$11,MATCH("mech",'Job setup'!I$7:I$11,0)),"")="",IFERROR(INDEX('Job setup'!H$7:H$11,MATCH("mech",'Job setup'!I$7:I$11,0)),"")=0))),0,IF(OR(AA16&lt;=0,NOT(OR(AND(IFERROR(INDEX('Job setup'!B$7:B$11,MATCH("pre",'Job setup'!I$7:I$11,0)),"")="ON",IFERROR(INDEX('Job setup'!C$7:C$11,MATCH("pre",'Job setup'!I$7:I$11,0)),"")&lt;=AA$6,IFERROR(INDEX('Job setup'!D$7:D$11,MATCH("pre",'Job setup'!I$7:I$11,0)),"")&gt;=AA$6),AND(IFERROR(INDEX('Job setup'!B$7:B$11,MATCH("oil-out",'Job setup'!I$7:I$11,0)),"")="ON",IFERROR(INDEX('Job setup'!C$7:C$11,MATCH("oil-out",'Job setup'!I$7:I$11,0)),"")&lt;=AA$6,IFERROR(INDEX('Job setup'!D$7:D$11,MATCH("oil-out",'Job setup'!I$7:I$11,0)),"")&gt;=AA$6),AND(IFERROR(INDEX('Job setup'!B$7:B$11,MATCH("mech",'Job setup'!I$7:I$11,0)),"")="ON",IFERROR(INDEX('Job setup'!C$7:C$11,MATCH("mech",'Job setup'!I$7:I$11,0)),"")&lt;=AA$6,IFERROR(INDEX('Job setup'!D$7:D$11,MATCH("mech",'Job setup'!I$7:I$11,0)),"")&gt;=AA$6),AND(IFERROR(INDEX('Job setup'!B$7:B$11,MATCH("oil-in",'Job setup'!I$7:I$11,0)),"")="ON",IFERROR(INDEX('Job setup'!C$7:C$11,MATCH("oil-in",'Job setup'!I$7:I$11,0)),"")&lt;=AA$6,IFERROR(INDEX('Job setup'!D$7:D$11,MATCH("oil-in",'Job setup'!I$7:I$11,0)),"")&gt;=AA$6),AND(IFERROR(INDEX('Job setup'!B$7:B$11,MATCH("post",'Job setup'!I$7:I$11,0)),"")="ON",IFERROR(INDEX('Job setup'!C$7:C$11,MATCH("post",'Job setup'!I$7:I$11,0)),"")&lt;=AA$6,IFERROR(INDEX('Job setup'!D$7:D$11,MATCH("post",'Job setup'!I$7:I$11,0)),"")&gt;=AA$6)))),0,IF(WEEKDAY(AA$6,1)=1,AA16*AA17,0)))</f>
        <v>0</v>
      </c>
      <c r="AB20" s="61">
        <f>IF(AND(AB16=1,AB17=12,AND(IFERROR(INDEX('Job setup'!B$7:B$11,MATCH("mech",'Job setup'!I$7:I$11,0)),"")="ON",IFERROR(INDEX('Job setup'!C$7:C$11,MATCH("mech",'Job setup'!I$7:I$11,0)),"")&lt;=AB$6,IFERROR(INDEX('Job setup'!D$7:D$11,MATCH("mech",'Job setup'!I$7:I$11,0)),"")&gt;=AB$6,IFERROR(INDEX('Job setup'!G$7:G$11,MATCH("mech",'Job setup'!I$7:I$11,0)),"")="NO",OR(IFERROR(INDEX('Job setup'!H$7:H$11,MATCH("mech",'Job setup'!I$7:I$11,0)),"")="",IFERROR(INDEX('Job setup'!H$7:H$11,MATCH("mech",'Job setup'!I$7:I$11,0)),"")=0))),0,IF(OR(AB16&lt;=0,NOT(OR(AND(IFERROR(INDEX('Job setup'!B$7:B$11,MATCH("pre",'Job setup'!I$7:I$11,0)),"")="ON",IFERROR(INDEX('Job setup'!C$7:C$11,MATCH("pre",'Job setup'!I$7:I$11,0)),"")&lt;=AB$6,IFERROR(INDEX('Job setup'!D$7:D$11,MATCH("pre",'Job setup'!I$7:I$11,0)),"")&gt;=AB$6),AND(IFERROR(INDEX('Job setup'!B$7:B$11,MATCH("oil-out",'Job setup'!I$7:I$11,0)),"")="ON",IFERROR(INDEX('Job setup'!C$7:C$11,MATCH("oil-out",'Job setup'!I$7:I$11,0)),"")&lt;=AB$6,IFERROR(INDEX('Job setup'!D$7:D$11,MATCH("oil-out",'Job setup'!I$7:I$11,0)),"")&gt;=AB$6),AND(IFERROR(INDEX('Job setup'!B$7:B$11,MATCH("mech",'Job setup'!I$7:I$11,0)),"")="ON",IFERROR(INDEX('Job setup'!C$7:C$11,MATCH("mech",'Job setup'!I$7:I$11,0)),"")&lt;=AB$6,IFERROR(INDEX('Job setup'!D$7:D$11,MATCH("mech",'Job setup'!I$7:I$11,0)),"")&gt;=AB$6),AND(IFERROR(INDEX('Job setup'!B$7:B$11,MATCH("oil-in",'Job setup'!I$7:I$11,0)),"")="ON",IFERROR(INDEX('Job setup'!C$7:C$11,MATCH("oil-in",'Job setup'!I$7:I$11,0)),"")&lt;=AB$6,IFERROR(INDEX('Job setup'!D$7:D$11,MATCH("oil-in",'Job setup'!I$7:I$11,0)),"")&gt;=AB$6),AND(IFERROR(INDEX('Job setup'!B$7:B$11,MATCH("post",'Job setup'!I$7:I$11,0)),"")="ON",IFERROR(INDEX('Job setup'!C$7:C$11,MATCH("post",'Job setup'!I$7:I$11,0)),"")&lt;=AB$6,IFERROR(INDEX('Job setup'!D$7:D$11,MATCH("post",'Job setup'!I$7:I$11,0)),"")&gt;=AB$6)))),0,IF(WEEKDAY(AB$6,1)=1,AB16*AB17,0)))</f>
        <v>0</v>
      </c>
      <c r="AC20" s="61">
        <f>IF(AND(AC16=1,AC17=12,AND(IFERROR(INDEX('Job setup'!B$7:B$11,MATCH("mech",'Job setup'!I$7:I$11,0)),"")="ON",IFERROR(INDEX('Job setup'!C$7:C$11,MATCH("mech",'Job setup'!I$7:I$11,0)),"")&lt;=AC$6,IFERROR(INDEX('Job setup'!D$7:D$11,MATCH("mech",'Job setup'!I$7:I$11,0)),"")&gt;=AC$6,IFERROR(INDEX('Job setup'!G$7:G$11,MATCH("mech",'Job setup'!I$7:I$11,0)),"")="NO",OR(IFERROR(INDEX('Job setup'!H$7:H$11,MATCH("mech",'Job setup'!I$7:I$11,0)),"")="",IFERROR(INDEX('Job setup'!H$7:H$11,MATCH("mech",'Job setup'!I$7:I$11,0)),"")=0))),0,IF(OR(AC16&lt;=0,NOT(OR(AND(IFERROR(INDEX('Job setup'!B$7:B$11,MATCH("pre",'Job setup'!I$7:I$11,0)),"")="ON",IFERROR(INDEX('Job setup'!C$7:C$11,MATCH("pre",'Job setup'!I$7:I$11,0)),"")&lt;=AC$6,IFERROR(INDEX('Job setup'!D$7:D$11,MATCH("pre",'Job setup'!I$7:I$11,0)),"")&gt;=AC$6),AND(IFERROR(INDEX('Job setup'!B$7:B$11,MATCH("oil-out",'Job setup'!I$7:I$11,0)),"")="ON",IFERROR(INDEX('Job setup'!C$7:C$11,MATCH("oil-out",'Job setup'!I$7:I$11,0)),"")&lt;=AC$6,IFERROR(INDEX('Job setup'!D$7:D$11,MATCH("oil-out",'Job setup'!I$7:I$11,0)),"")&gt;=AC$6),AND(IFERROR(INDEX('Job setup'!B$7:B$11,MATCH("mech",'Job setup'!I$7:I$11,0)),"")="ON",IFERROR(INDEX('Job setup'!C$7:C$11,MATCH("mech",'Job setup'!I$7:I$11,0)),"")&lt;=AC$6,IFERROR(INDEX('Job setup'!D$7:D$11,MATCH("mech",'Job setup'!I$7:I$11,0)),"")&gt;=AC$6),AND(IFERROR(INDEX('Job setup'!B$7:B$11,MATCH("oil-in",'Job setup'!I$7:I$11,0)),"")="ON",IFERROR(INDEX('Job setup'!C$7:C$11,MATCH("oil-in",'Job setup'!I$7:I$11,0)),"")&lt;=AC$6,IFERROR(INDEX('Job setup'!D$7:D$11,MATCH("oil-in",'Job setup'!I$7:I$11,0)),"")&gt;=AC$6),AND(IFERROR(INDEX('Job setup'!B$7:B$11,MATCH("post",'Job setup'!I$7:I$11,0)),"")="ON",IFERROR(INDEX('Job setup'!C$7:C$11,MATCH("post",'Job setup'!I$7:I$11,0)),"")&lt;=AC$6,IFERROR(INDEX('Job setup'!D$7:D$11,MATCH("post",'Job setup'!I$7:I$11,0)),"")&gt;=AC$6)))),0,IF(WEEKDAY(AC$6,1)=1,AC16*AC17,0)))</f>
        <v>0</v>
      </c>
      <c r="AD20" s="62">
        <f>IF(AND(AD16=1,AD17=12,AND(IFERROR(INDEX('Job setup'!B$7:B$11,MATCH("mech",'Job setup'!I$7:I$11,0)),"")="ON",IFERROR(INDEX('Job setup'!C$7:C$11,MATCH("mech",'Job setup'!I$7:I$11,0)),"")&lt;=AD$6,IFERROR(INDEX('Job setup'!D$7:D$11,MATCH("mech",'Job setup'!I$7:I$11,0)),"")&gt;=AD$6,IFERROR(INDEX('Job setup'!G$7:G$11,MATCH("mech",'Job setup'!I$7:I$11,0)),"")="NO",OR(IFERROR(INDEX('Job setup'!H$7:H$11,MATCH("mech",'Job setup'!I$7:I$11,0)),"")="",IFERROR(INDEX('Job setup'!H$7:H$11,MATCH("mech",'Job setup'!I$7:I$11,0)),"")=0))),0,IF(OR(AD16&lt;=0,NOT(OR(AND(IFERROR(INDEX('Job setup'!B$7:B$11,MATCH("pre",'Job setup'!I$7:I$11,0)),"")="ON",IFERROR(INDEX('Job setup'!C$7:C$11,MATCH("pre",'Job setup'!I$7:I$11,0)),"")&lt;=AD$6,IFERROR(INDEX('Job setup'!D$7:D$11,MATCH("pre",'Job setup'!I$7:I$11,0)),"")&gt;=AD$6),AND(IFERROR(INDEX('Job setup'!B$7:B$11,MATCH("oil-out",'Job setup'!I$7:I$11,0)),"")="ON",IFERROR(INDEX('Job setup'!C$7:C$11,MATCH("oil-out",'Job setup'!I$7:I$11,0)),"")&lt;=AD$6,IFERROR(INDEX('Job setup'!D$7:D$11,MATCH("oil-out",'Job setup'!I$7:I$11,0)),"")&gt;=AD$6),AND(IFERROR(INDEX('Job setup'!B$7:B$11,MATCH("mech",'Job setup'!I$7:I$11,0)),"")="ON",IFERROR(INDEX('Job setup'!C$7:C$11,MATCH("mech",'Job setup'!I$7:I$11,0)),"")&lt;=AD$6,IFERROR(INDEX('Job setup'!D$7:D$11,MATCH("mech",'Job setup'!I$7:I$11,0)),"")&gt;=AD$6),AND(IFERROR(INDEX('Job setup'!B$7:B$11,MATCH("oil-in",'Job setup'!I$7:I$11,0)),"")="ON",IFERROR(INDEX('Job setup'!C$7:C$11,MATCH("oil-in",'Job setup'!I$7:I$11,0)),"")&lt;=AD$6,IFERROR(INDEX('Job setup'!D$7:D$11,MATCH("oil-in",'Job setup'!I$7:I$11,0)),"")&gt;=AD$6),AND(IFERROR(INDEX('Job setup'!B$7:B$11,MATCH("post",'Job setup'!I$7:I$11,0)),"")="ON",IFERROR(INDEX('Job setup'!C$7:C$11,MATCH("post",'Job setup'!I$7:I$11,0)),"")&lt;=AD$6,IFERROR(INDEX('Job setup'!D$7:D$11,MATCH("post",'Job setup'!I$7:I$11,0)),"")&gt;=AD$6)))),0,IF(WEEKDAY(AD$6,1)=1,AD16*AD17,0)))</f>
        <v>0</v>
      </c>
      <c r="AE20" s="62">
        <f>IF(AND(AE16=1,AE17=12,AND(IFERROR(INDEX('Job setup'!B$7:B$11,MATCH("mech",'Job setup'!I$7:I$11,0)),"")="ON",IFERROR(INDEX('Job setup'!C$7:C$11,MATCH("mech",'Job setup'!I$7:I$11,0)),"")&lt;=AE$6,IFERROR(INDEX('Job setup'!D$7:D$11,MATCH("mech",'Job setup'!I$7:I$11,0)),"")&gt;=AE$6,IFERROR(INDEX('Job setup'!G$7:G$11,MATCH("mech",'Job setup'!I$7:I$11,0)),"")="NO",OR(IFERROR(INDEX('Job setup'!H$7:H$11,MATCH("mech",'Job setup'!I$7:I$11,0)),"")="",IFERROR(INDEX('Job setup'!H$7:H$11,MATCH("mech",'Job setup'!I$7:I$11,0)),"")=0))),12,IF(OR(AE16&lt;=0,NOT(OR(AND(IFERROR(INDEX('Job setup'!B$7:B$11,MATCH("pre",'Job setup'!I$7:I$11,0)),"")="ON",IFERROR(INDEX('Job setup'!C$7:C$11,MATCH("pre",'Job setup'!I$7:I$11,0)),"")&lt;=AE$6,IFERROR(INDEX('Job setup'!D$7:D$11,MATCH("pre",'Job setup'!I$7:I$11,0)),"")&gt;=AE$6),AND(IFERROR(INDEX('Job setup'!B$7:B$11,MATCH("oil-out",'Job setup'!I$7:I$11,0)),"")="ON",IFERROR(INDEX('Job setup'!C$7:C$11,MATCH("oil-out",'Job setup'!I$7:I$11,0)),"")&lt;=AE$6,IFERROR(INDEX('Job setup'!D$7:D$11,MATCH("oil-out",'Job setup'!I$7:I$11,0)),"")&gt;=AE$6),AND(IFERROR(INDEX('Job setup'!B$7:B$11,MATCH("mech",'Job setup'!I$7:I$11,0)),"")="ON",IFERROR(INDEX('Job setup'!C$7:C$11,MATCH("mech",'Job setup'!I$7:I$11,0)),"")&lt;=AE$6,IFERROR(INDEX('Job setup'!D$7:D$11,MATCH("mech",'Job setup'!I$7:I$11,0)),"")&gt;=AE$6),AND(IFERROR(INDEX('Job setup'!B$7:B$11,MATCH("oil-in",'Job setup'!I$7:I$11,0)),"")="ON",IFERROR(INDEX('Job setup'!C$7:C$11,MATCH("oil-in",'Job setup'!I$7:I$11,0)),"")&lt;=AE$6,IFERROR(INDEX('Job setup'!D$7:D$11,MATCH("oil-in",'Job setup'!I$7:I$11,0)),"")&gt;=AE$6),AND(IFERROR(INDEX('Job setup'!B$7:B$11,MATCH("post",'Job setup'!I$7:I$11,0)),"")="ON",IFERROR(INDEX('Job setup'!C$7:C$11,MATCH("post",'Job setup'!I$7:I$11,0)),"")&lt;=AE$6,IFERROR(INDEX('Job setup'!D$7:D$11,MATCH("post",'Job setup'!I$7:I$11,0)),"")&gt;=AE$6)))),0,IF(WEEKDAY(AE$6,1)=1,AE16*AE17,0)))</f>
        <v>12</v>
      </c>
      <c r="AF20" s="61">
        <f>IF(AND(AF16=1,AF17=12,AND(IFERROR(INDEX('Job setup'!B$7:B$11,MATCH("mech",'Job setup'!I$7:I$11,0)),"")="ON",IFERROR(INDEX('Job setup'!C$7:C$11,MATCH("mech",'Job setup'!I$7:I$11,0)),"")&lt;=AF$6,IFERROR(INDEX('Job setup'!D$7:D$11,MATCH("mech",'Job setup'!I$7:I$11,0)),"")&gt;=AF$6,IFERROR(INDEX('Job setup'!G$7:G$11,MATCH("mech",'Job setup'!I$7:I$11,0)),"")="NO",OR(IFERROR(INDEX('Job setup'!H$7:H$11,MATCH("mech",'Job setup'!I$7:I$11,0)),"")="",IFERROR(INDEX('Job setup'!H$7:H$11,MATCH("mech",'Job setup'!I$7:I$11,0)),"")=0))),0,IF(OR(AF16&lt;=0,NOT(OR(AND(IFERROR(INDEX('Job setup'!B$7:B$11,MATCH("pre",'Job setup'!I$7:I$11,0)),"")="ON",IFERROR(INDEX('Job setup'!C$7:C$11,MATCH("pre",'Job setup'!I$7:I$11,0)),"")&lt;=AF$6,IFERROR(INDEX('Job setup'!D$7:D$11,MATCH("pre",'Job setup'!I$7:I$11,0)),"")&gt;=AF$6),AND(IFERROR(INDEX('Job setup'!B$7:B$11,MATCH("oil-out",'Job setup'!I$7:I$11,0)),"")="ON",IFERROR(INDEX('Job setup'!C$7:C$11,MATCH("oil-out",'Job setup'!I$7:I$11,0)),"")&lt;=AF$6,IFERROR(INDEX('Job setup'!D$7:D$11,MATCH("oil-out",'Job setup'!I$7:I$11,0)),"")&gt;=AF$6),AND(IFERROR(INDEX('Job setup'!B$7:B$11,MATCH("mech",'Job setup'!I$7:I$11,0)),"")="ON",IFERROR(INDEX('Job setup'!C$7:C$11,MATCH("mech",'Job setup'!I$7:I$11,0)),"")&lt;=AF$6,IFERROR(INDEX('Job setup'!D$7:D$11,MATCH("mech",'Job setup'!I$7:I$11,0)),"")&gt;=AF$6),AND(IFERROR(INDEX('Job setup'!B$7:B$11,MATCH("oil-in",'Job setup'!I$7:I$11,0)),"")="ON",IFERROR(INDEX('Job setup'!C$7:C$11,MATCH("oil-in",'Job setup'!I$7:I$11,0)),"")&lt;=AF$6,IFERROR(INDEX('Job setup'!D$7:D$11,MATCH("oil-in",'Job setup'!I$7:I$11,0)),"")&gt;=AF$6),AND(IFERROR(INDEX('Job setup'!B$7:B$11,MATCH("post",'Job setup'!I$7:I$11,0)),"")="ON",IFERROR(INDEX('Job setup'!C$7:C$11,MATCH("post",'Job setup'!I$7:I$11,0)),"")&lt;=AF$6,IFERROR(INDEX('Job setup'!D$7:D$11,MATCH("post",'Job setup'!I$7:I$11,0)),"")&gt;=AF$6)))),0,IF(WEEKDAY(AF$6,1)=1,AF16*AF17,0)))</f>
        <v>0</v>
      </c>
      <c r="AG20" s="61">
        <f>IF(AND(AG16=1,AG17=12,AND(IFERROR(INDEX('Job setup'!B$7:B$11,MATCH("mech",'Job setup'!I$7:I$11,0)),"")="ON",IFERROR(INDEX('Job setup'!C$7:C$11,MATCH("mech",'Job setup'!I$7:I$11,0)),"")&lt;=AG$6,IFERROR(INDEX('Job setup'!D$7:D$11,MATCH("mech",'Job setup'!I$7:I$11,0)),"")&gt;=AG$6,IFERROR(INDEX('Job setup'!G$7:G$11,MATCH("mech",'Job setup'!I$7:I$11,0)),"")="NO",OR(IFERROR(INDEX('Job setup'!H$7:H$11,MATCH("mech",'Job setup'!I$7:I$11,0)),"")="",IFERROR(INDEX('Job setup'!H$7:H$11,MATCH("mech",'Job setup'!I$7:I$11,0)),"")=0))),0,IF(OR(AG16&lt;=0,NOT(OR(AND(IFERROR(INDEX('Job setup'!B$7:B$11,MATCH("pre",'Job setup'!I$7:I$11,0)),"")="ON",IFERROR(INDEX('Job setup'!C$7:C$11,MATCH("pre",'Job setup'!I$7:I$11,0)),"")&lt;=AG$6,IFERROR(INDEX('Job setup'!D$7:D$11,MATCH("pre",'Job setup'!I$7:I$11,0)),"")&gt;=AG$6),AND(IFERROR(INDEX('Job setup'!B$7:B$11,MATCH("oil-out",'Job setup'!I$7:I$11,0)),"")="ON",IFERROR(INDEX('Job setup'!C$7:C$11,MATCH("oil-out",'Job setup'!I$7:I$11,0)),"")&lt;=AG$6,IFERROR(INDEX('Job setup'!D$7:D$11,MATCH("oil-out",'Job setup'!I$7:I$11,0)),"")&gt;=AG$6),AND(IFERROR(INDEX('Job setup'!B$7:B$11,MATCH("mech",'Job setup'!I$7:I$11,0)),"")="ON",IFERROR(INDEX('Job setup'!C$7:C$11,MATCH("mech",'Job setup'!I$7:I$11,0)),"")&lt;=AG$6,IFERROR(INDEX('Job setup'!D$7:D$11,MATCH("mech",'Job setup'!I$7:I$11,0)),"")&gt;=AG$6),AND(IFERROR(INDEX('Job setup'!B$7:B$11,MATCH("oil-in",'Job setup'!I$7:I$11,0)),"")="ON",IFERROR(INDEX('Job setup'!C$7:C$11,MATCH("oil-in",'Job setup'!I$7:I$11,0)),"")&lt;=AG$6,IFERROR(INDEX('Job setup'!D$7:D$11,MATCH("oil-in",'Job setup'!I$7:I$11,0)),"")&gt;=AG$6),AND(IFERROR(INDEX('Job setup'!B$7:B$11,MATCH("post",'Job setup'!I$7:I$11,0)),"")="ON",IFERROR(INDEX('Job setup'!C$7:C$11,MATCH("post",'Job setup'!I$7:I$11,0)),"")&lt;=AG$6,IFERROR(INDEX('Job setup'!D$7:D$11,MATCH("post",'Job setup'!I$7:I$11,0)),"")&gt;=AG$6)))),0,IF(WEEKDAY(AG$6,1)=1,AG16*AG17,0)))</f>
        <v>0</v>
      </c>
      <c r="AH20" s="61">
        <f>IF(AND(AH16=1,AH17=12,AND(IFERROR(INDEX('Job setup'!B$7:B$11,MATCH("mech",'Job setup'!I$7:I$11,0)),"")="ON",IFERROR(INDEX('Job setup'!C$7:C$11,MATCH("mech",'Job setup'!I$7:I$11,0)),"")&lt;=AH$6,IFERROR(INDEX('Job setup'!D$7:D$11,MATCH("mech",'Job setup'!I$7:I$11,0)),"")&gt;=AH$6,IFERROR(INDEX('Job setup'!G$7:G$11,MATCH("mech",'Job setup'!I$7:I$11,0)),"")="NO",OR(IFERROR(INDEX('Job setup'!H$7:H$11,MATCH("mech",'Job setup'!I$7:I$11,0)),"")="",IFERROR(INDEX('Job setup'!H$7:H$11,MATCH("mech",'Job setup'!I$7:I$11,0)),"")=0))),0,IF(OR(AH16&lt;=0,NOT(OR(AND(IFERROR(INDEX('Job setup'!B$7:B$11,MATCH("pre",'Job setup'!I$7:I$11,0)),"")="ON",IFERROR(INDEX('Job setup'!C$7:C$11,MATCH("pre",'Job setup'!I$7:I$11,0)),"")&lt;=AH$6,IFERROR(INDEX('Job setup'!D$7:D$11,MATCH("pre",'Job setup'!I$7:I$11,0)),"")&gt;=AH$6),AND(IFERROR(INDEX('Job setup'!B$7:B$11,MATCH("oil-out",'Job setup'!I$7:I$11,0)),"")="ON",IFERROR(INDEX('Job setup'!C$7:C$11,MATCH("oil-out",'Job setup'!I$7:I$11,0)),"")&lt;=AH$6,IFERROR(INDEX('Job setup'!D$7:D$11,MATCH("oil-out",'Job setup'!I$7:I$11,0)),"")&gt;=AH$6),AND(IFERROR(INDEX('Job setup'!B$7:B$11,MATCH("mech",'Job setup'!I$7:I$11,0)),"")="ON",IFERROR(INDEX('Job setup'!C$7:C$11,MATCH("mech",'Job setup'!I$7:I$11,0)),"")&lt;=AH$6,IFERROR(INDEX('Job setup'!D$7:D$11,MATCH("mech",'Job setup'!I$7:I$11,0)),"")&gt;=AH$6),AND(IFERROR(INDEX('Job setup'!B$7:B$11,MATCH("oil-in",'Job setup'!I$7:I$11,0)),"")="ON",IFERROR(INDEX('Job setup'!C$7:C$11,MATCH("oil-in",'Job setup'!I$7:I$11,0)),"")&lt;=AH$6,IFERROR(INDEX('Job setup'!D$7:D$11,MATCH("oil-in",'Job setup'!I$7:I$11,0)),"")&gt;=AH$6),AND(IFERROR(INDEX('Job setup'!B$7:B$11,MATCH("post",'Job setup'!I$7:I$11,0)),"")="ON",IFERROR(INDEX('Job setup'!C$7:C$11,MATCH("post",'Job setup'!I$7:I$11,0)),"")&lt;=AH$6,IFERROR(INDEX('Job setup'!D$7:D$11,MATCH("post",'Job setup'!I$7:I$11,0)),"")&gt;=AH$6)))),0,IF(WEEKDAY(AH$6,1)=1,AH16*AH17,0)))</f>
        <v>0</v>
      </c>
      <c r="AI20" s="61">
        <f>IF(AND(AI16=0,AI17=0,AND(IFERROR(INDEX('Job setup'!B$7:B$11,MATCH("post",'Job setup'!I$7:I$11,0)),"")="ON",IFERROR(INDEX('Job setup'!C$7:C$11,MATCH("post",'Job setup'!I$7:I$11,0)),"")&lt;=AI$6,IFERROR(INDEX('Job setup'!D$7:D$11,MATCH("post",'Job setup'!I$7:I$11,0)),"")&gt;=AI$6,IFERROR(INDEX('Job setup'!G$7:G$11,MATCH("post",'Job setup'!I$7:I$11,0)),"")="YES",IFERROR(INDEX('Job setup'!H$7:H$11,MATCH("post",'Job setup'!I$7:I$11,0)),"")="5×8 — OT after 8 hours")),0,IF(OR(AI16&lt;=0,NOT(OR(AND(IFERROR(INDEX('Job setup'!B$7:B$11,MATCH("pre",'Job setup'!I$7:I$11,0)),"")="ON",IFERROR(INDEX('Job setup'!C$7:C$11,MATCH("pre",'Job setup'!I$7:I$11,0)),"")&lt;=AI$6,IFERROR(INDEX('Job setup'!D$7:D$11,MATCH("pre",'Job setup'!I$7:I$11,0)),"")&gt;=AI$6),AND(IFERROR(INDEX('Job setup'!B$7:B$11,MATCH("oil-out",'Job setup'!I$7:I$11,0)),"")="ON",IFERROR(INDEX('Job setup'!C$7:C$11,MATCH("oil-out",'Job setup'!I$7:I$11,0)),"")&lt;=AI$6,IFERROR(INDEX('Job setup'!D$7:D$11,MATCH("oil-out",'Job setup'!I$7:I$11,0)),"")&gt;=AI$6),AND(IFERROR(INDEX('Job setup'!B$7:B$11,MATCH("mech",'Job setup'!I$7:I$11,0)),"")="ON",IFERROR(INDEX('Job setup'!C$7:C$11,MATCH("mech",'Job setup'!I$7:I$11,0)),"")&lt;=AI$6,IFERROR(INDEX('Job setup'!D$7:D$11,MATCH("mech",'Job setup'!I$7:I$11,0)),"")&gt;=AI$6),AND(IFERROR(INDEX('Job setup'!B$7:B$11,MATCH("oil-in",'Job setup'!I$7:I$11,0)),"")="ON",IFERROR(INDEX('Job setup'!C$7:C$11,MATCH("oil-in",'Job setup'!I$7:I$11,0)),"")&lt;=AI$6,IFERROR(INDEX('Job setup'!D$7:D$11,MATCH("oil-in",'Job setup'!I$7:I$11,0)),"")&gt;=AI$6),AND(IFERROR(INDEX('Job setup'!B$7:B$11,MATCH("post",'Job setup'!I$7:I$11,0)),"")="ON",IFERROR(INDEX('Job setup'!C$7:C$11,MATCH("post",'Job setup'!I$7:I$11,0)),"")&lt;=AI$6,IFERROR(INDEX('Job setup'!D$7:D$11,MATCH("post",'Job setup'!I$7:I$11,0)),"")&gt;=AI$6)))),0,IF(WEEKDAY(AI$6,1)=1,AI16*AI17,0)))</f>
        <v>0</v>
      </c>
      <c r="AJ20" s="61">
        <f>IF(AND(AJ16=0,AJ17=0,AND(IFERROR(INDEX('Job setup'!B$7:B$11,MATCH("post",'Job setup'!I$7:I$11,0)),"")="ON",IFERROR(INDEX('Job setup'!C$7:C$11,MATCH("post",'Job setup'!I$7:I$11,0)),"")&lt;=AJ$6,IFERROR(INDEX('Job setup'!D$7:D$11,MATCH("post",'Job setup'!I$7:I$11,0)),"")&gt;=AJ$6,IFERROR(INDEX('Job setup'!G$7:G$11,MATCH("post",'Job setup'!I$7:I$11,0)),"")="YES",IFERROR(INDEX('Job setup'!H$7:H$11,MATCH("post",'Job setup'!I$7:I$11,0)),"")="5×8 — OT after 8 hours")),0,IF(OR(AJ16&lt;=0,NOT(OR(AND(IFERROR(INDEX('Job setup'!B$7:B$11,MATCH("pre",'Job setup'!I$7:I$11,0)),"")="ON",IFERROR(INDEX('Job setup'!C$7:C$11,MATCH("pre",'Job setup'!I$7:I$11,0)),"")&lt;=AJ$6,IFERROR(INDEX('Job setup'!D$7:D$11,MATCH("pre",'Job setup'!I$7:I$11,0)),"")&gt;=AJ$6),AND(IFERROR(INDEX('Job setup'!B$7:B$11,MATCH("oil-out",'Job setup'!I$7:I$11,0)),"")="ON",IFERROR(INDEX('Job setup'!C$7:C$11,MATCH("oil-out",'Job setup'!I$7:I$11,0)),"")&lt;=AJ$6,IFERROR(INDEX('Job setup'!D$7:D$11,MATCH("oil-out",'Job setup'!I$7:I$11,0)),"")&gt;=AJ$6),AND(IFERROR(INDEX('Job setup'!B$7:B$11,MATCH("mech",'Job setup'!I$7:I$11,0)),"")="ON",IFERROR(INDEX('Job setup'!C$7:C$11,MATCH("mech",'Job setup'!I$7:I$11,0)),"")&lt;=AJ$6,IFERROR(INDEX('Job setup'!D$7:D$11,MATCH("mech",'Job setup'!I$7:I$11,0)),"")&gt;=AJ$6),AND(IFERROR(INDEX('Job setup'!B$7:B$11,MATCH("oil-in",'Job setup'!I$7:I$11,0)),"")="ON",IFERROR(INDEX('Job setup'!C$7:C$11,MATCH("oil-in",'Job setup'!I$7:I$11,0)),"")&lt;=AJ$6,IFERROR(INDEX('Job setup'!D$7:D$11,MATCH("oil-in",'Job setup'!I$7:I$11,0)),"")&gt;=AJ$6),AND(IFERROR(INDEX('Job setup'!B$7:B$11,MATCH("post",'Job setup'!I$7:I$11,0)),"")="ON",IFERROR(INDEX('Job setup'!C$7:C$11,MATCH("post",'Job setup'!I$7:I$11,0)),"")&lt;=AJ$6,IFERROR(INDEX('Job setup'!D$7:D$11,MATCH("post",'Job setup'!I$7:I$11,0)),"")&gt;=AJ$6)))),0,IF(WEEKDAY(AJ$6,1)=1,AJ16*AJ17,0)))</f>
        <v>0</v>
      </c>
      <c r="AK20" s="62">
        <f>IF(AND(AK16=0,AK17=0,AND(IFERROR(INDEX('Job setup'!B$7:B$11,MATCH("post",'Job setup'!I$7:I$11,0)),"")="ON",IFERROR(INDEX('Job setup'!C$7:C$11,MATCH("post",'Job setup'!I$7:I$11,0)),"")&lt;=AK$6,IFERROR(INDEX('Job setup'!D$7:D$11,MATCH("post",'Job setup'!I$7:I$11,0)),"")&gt;=AK$6,IFERROR(INDEX('Job setup'!G$7:G$11,MATCH("post",'Job setup'!I$7:I$11,0)),"")="YES",IFERROR(INDEX('Job setup'!H$7:H$11,MATCH("post",'Job setup'!I$7:I$11,0)),"")="5×8 — OT after 8 hours")),0,IF(OR(AK16&lt;=0,NOT(OR(AND(IFERROR(INDEX('Job setup'!B$7:B$11,MATCH("pre",'Job setup'!I$7:I$11,0)),"")="ON",IFERROR(INDEX('Job setup'!C$7:C$11,MATCH("pre",'Job setup'!I$7:I$11,0)),"")&lt;=AK$6,IFERROR(INDEX('Job setup'!D$7:D$11,MATCH("pre",'Job setup'!I$7:I$11,0)),"")&gt;=AK$6),AND(IFERROR(INDEX('Job setup'!B$7:B$11,MATCH("oil-out",'Job setup'!I$7:I$11,0)),"")="ON",IFERROR(INDEX('Job setup'!C$7:C$11,MATCH("oil-out",'Job setup'!I$7:I$11,0)),"")&lt;=AK$6,IFERROR(INDEX('Job setup'!D$7:D$11,MATCH("oil-out",'Job setup'!I$7:I$11,0)),"")&gt;=AK$6),AND(IFERROR(INDEX('Job setup'!B$7:B$11,MATCH("mech",'Job setup'!I$7:I$11,0)),"")="ON",IFERROR(INDEX('Job setup'!C$7:C$11,MATCH("mech",'Job setup'!I$7:I$11,0)),"")&lt;=AK$6,IFERROR(INDEX('Job setup'!D$7:D$11,MATCH("mech",'Job setup'!I$7:I$11,0)),"")&gt;=AK$6),AND(IFERROR(INDEX('Job setup'!B$7:B$11,MATCH("oil-in",'Job setup'!I$7:I$11,0)),"")="ON",IFERROR(INDEX('Job setup'!C$7:C$11,MATCH("oil-in",'Job setup'!I$7:I$11,0)),"")&lt;=AK$6,IFERROR(INDEX('Job setup'!D$7:D$11,MATCH("oil-in",'Job setup'!I$7:I$11,0)),"")&gt;=AK$6),AND(IFERROR(INDEX('Job setup'!B$7:B$11,MATCH("post",'Job setup'!I$7:I$11,0)),"")="ON",IFERROR(INDEX('Job setup'!C$7:C$11,MATCH("post",'Job setup'!I$7:I$11,0)),"")&lt;=AK$6,IFERROR(INDEX('Job setup'!D$7:D$11,MATCH("post",'Job setup'!I$7:I$11,0)),"")&gt;=AK$6)))),0,IF(WEEKDAY(AK$6,1)=1,AK16*AK17,0)))</f>
        <v>0</v>
      </c>
      <c r="AL20" s="62">
        <f>IF(AND(AL16=0,AL17=0,AND(IFERROR(INDEX('Job setup'!B$7:B$11,MATCH("post",'Job setup'!I$7:I$11,0)),"")="ON",IFERROR(INDEX('Job setup'!C$7:C$11,MATCH("post",'Job setup'!I$7:I$11,0)),"")&lt;=AL$6,IFERROR(INDEX('Job setup'!D$7:D$11,MATCH("post",'Job setup'!I$7:I$11,0)),"")&gt;=AL$6,IFERROR(INDEX('Job setup'!G$7:G$11,MATCH("post",'Job setup'!I$7:I$11,0)),"")="YES",IFERROR(INDEX('Job setup'!H$7:H$11,MATCH("post",'Job setup'!I$7:I$11,0)),"")="5×8 — OT after 8 hours")),0,IF(OR(AL16&lt;=0,NOT(OR(AND(IFERROR(INDEX('Job setup'!B$7:B$11,MATCH("pre",'Job setup'!I$7:I$11,0)),"")="ON",IFERROR(INDEX('Job setup'!C$7:C$11,MATCH("pre",'Job setup'!I$7:I$11,0)),"")&lt;=AL$6,IFERROR(INDEX('Job setup'!D$7:D$11,MATCH("pre",'Job setup'!I$7:I$11,0)),"")&gt;=AL$6),AND(IFERROR(INDEX('Job setup'!B$7:B$11,MATCH("oil-out",'Job setup'!I$7:I$11,0)),"")="ON",IFERROR(INDEX('Job setup'!C$7:C$11,MATCH("oil-out",'Job setup'!I$7:I$11,0)),"")&lt;=AL$6,IFERROR(INDEX('Job setup'!D$7:D$11,MATCH("oil-out",'Job setup'!I$7:I$11,0)),"")&gt;=AL$6),AND(IFERROR(INDEX('Job setup'!B$7:B$11,MATCH("mech",'Job setup'!I$7:I$11,0)),"")="ON",IFERROR(INDEX('Job setup'!C$7:C$11,MATCH("mech",'Job setup'!I$7:I$11,0)),"")&lt;=AL$6,IFERROR(INDEX('Job setup'!D$7:D$11,MATCH("mech",'Job setup'!I$7:I$11,0)),"")&gt;=AL$6),AND(IFERROR(INDEX('Job setup'!B$7:B$11,MATCH("oil-in",'Job setup'!I$7:I$11,0)),"")="ON",IFERROR(INDEX('Job setup'!C$7:C$11,MATCH("oil-in",'Job setup'!I$7:I$11,0)),"")&lt;=AL$6,IFERROR(INDEX('Job setup'!D$7:D$11,MATCH("oil-in",'Job setup'!I$7:I$11,0)),"")&gt;=AL$6),AND(IFERROR(INDEX('Job setup'!B$7:B$11,MATCH("post",'Job setup'!I$7:I$11,0)),"")="ON",IFERROR(INDEX('Job setup'!C$7:C$11,MATCH("post",'Job setup'!I$7:I$11,0)),"")&lt;=AL$6,IFERROR(INDEX('Job setup'!D$7:D$11,MATCH("post",'Job setup'!I$7:I$11,0)),"")&gt;=AL$6)))),0,IF(WEEKDAY(AL$6,1)=1,AL16*AL17,0)))</f>
        <v>0</v>
      </c>
      <c r="AM20" s="61">
        <f>IF(AND(AM16=0,AM17=0,AND(IFERROR(INDEX('Job setup'!B$7:B$11,MATCH("post",'Job setup'!I$7:I$11,0)),"")="ON",IFERROR(INDEX('Job setup'!C$7:C$11,MATCH("post",'Job setup'!I$7:I$11,0)),"")&lt;=AM$6,IFERROR(INDEX('Job setup'!D$7:D$11,MATCH("post",'Job setup'!I$7:I$11,0)),"")&gt;=AM$6,IFERROR(INDEX('Job setup'!G$7:G$11,MATCH("post",'Job setup'!I$7:I$11,0)),"")="YES",IFERROR(INDEX('Job setup'!H$7:H$11,MATCH("post",'Job setup'!I$7:I$11,0)),"")="5×8 — OT after 8 hours")),0,IF(OR(AM16&lt;=0,NOT(OR(AND(IFERROR(INDEX('Job setup'!B$7:B$11,MATCH("pre",'Job setup'!I$7:I$11,0)),"")="ON",IFERROR(INDEX('Job setup'!C$7:C$11,MATCH("pre",'Job setup'!I$7:I$11,0)),"")&lt;=AM$6,IFERROR(INDEX('Job setup'!D$7:D$11,MATCH("pre",'Job setup'!I$7:I$11,0)),"")&gt;=AM$6),AND(IFERROR(INDEX('Job setup'!B$7:B$11,MATCH("oil-out",'Job setup'!I$7:I$11,0)),"")="ON",IFERROR(INDEX('Job setup'!C$7:C$11,MATCH("oil-out",'Job setup'!I$7:I$11,0)),"")&lt;=AM$6,IFERROR(INDEX('Job setup'!D$7:D$11,MATCH("oil-out",'Job setup'!I$7:I$11,0)),"")&gt;=AM$6),AND(IFERROR(INDEX('Job setup'!B$7:B$11,MATCH("mech",'Job setup'!I$7:I$11,0)),"")="ON",IFERROR(INDEX('Job setup'!C$7:C$11,MATCH("mech",'Job setup'!I$7:I$11,0)),"")&lt;=AM$6,IFERROR(INDEX('Job setup'!D$7:D$11,MATCH("mech",'Job setup'!I$7:I$11,0)),"")&gt;=AM$6),AND(IFERROR(INDEX('Job setup'!B$7:B$11,MATCH("oil-in",'Job setup'!I$7:I$11,0)),"")="ON",IFERROR(INDEX('Job setup'!C$7:C$11,MATCH("oil-in",'Job setup'!I$7:I$11,0)),"")&lt;=AM$6,IFERROR(INDEX('Job setup'!D$7:D$11,MATCH("oil-in",'Job setup'!I$7:I$11,0)),"")&gt;=AM$6),AND(IFERROR(INDEX('Job setup'!B$7:B$11,MATCH("post",'Job setup'!I$7:I$11,0)),"")="ON",IFERROR(INDEX('Job setup'!C$7:C$11,MATCH("post",'Job setup'!I$7:I$11,0)),"")&lt;=AM$6,IFERROR(INDEX('Job setup'!D$7:D$11,MATCH("post",'Job setup'!I$7:I$11,0)),"")&gt;=AM$6)))),0,IF(WEEKDAY(AM$6,1)=1,AM16*AM17,0)))</f>
        <v>0</v>
      </c>
      <c r="AN20" s="61">
        <f>IF(AND(AN16=0,AN17=0,AND(IFERROR(INDEX('Job setup'!B$7:B$11,MATCH("post",'Job setup'!I$7:I$11,0)),"")="ON",IFERROR(INDEX('Job setup'!C$7:C$11,MATCH("post",'Job setup'!I$7:I$11,0)),"")&lt;=AN$6,IFERROR(INDEX('Job setup'!D$7:D$11,MATCH("post",'Job setup'!I$7:I$11,0)),"")&gt;=AN$6,IFERROR(INDEX('Job setup'!G$7:G$11,MATCH("post",'Job setup'!I$7:I$11,0)),"")="YES",IFERROR(INDEX('Job setup'!H$7:H$11,MATCH("post",'Job setup'!I$7:I$11,0)),"")="5×8 — OT after 8 hours")),0,IF(OR(AN16&lt;=0,NOT(OR(AND(IFERROR(INDEX('Job setup'!B$7:B$11,MATCH("pre",'Job setup'!I$7:I$11,0)),"")="ON",IFERROR(INDEX('Job setup'!C$7:C$11,MATCH("pre",'Job setup'!I$7:I$11,0)),"")&lt;=AN$6,IFERROR(INDEX('Job setup'!D$7:D$11,MATCH("pre",'Job setup'!I$7:I$11,0)),"")&gt;=AN$6),AND(IFERROR(INDEX('Job setup'!B$7:B$11,MATCH("oil-out",'Job setup'!I$7:I$11,0)),"")="ON",IFERROR(INDEX('Job setup'!C$7:C$11,MATCH("oil-out",'Job setup'!I$7:I$11,0)),"")&lt;=AN$6,IFERROR(INDEX('Job setup'!D$7:D$11,MATCH("oil-out",'Job setup'!I$7:I$11,0)),"")&gt;=AN$6),AND(IFERROR(INDEX('Job setup'!B$7:B$11,MATCH("mech",'Job setup'!I$7:I$11,0)),"")="ON",IFERROR(INDEX('Job setup'!C$7:C$11,MATCH("mech",'Job setup'!I$7:I$11,0)),"")&lt;=AN$6,IFERROR(INDEX('Job setup'!D$7:D$11,MATCH("mech",'Job setup'!I$7:I$11,0)),"")&gt;=AN$6),AND(IFERROR(INDEX('Job setup'!B$7:B$11,MATCH("oil-in",'Job setup'!I$7:I$11,0)),"")="ON",IFERROR(INDEX('Job setup'!C$7:C$11,MATCH("oil-in",'Job setup'!I$7:I$11,0)),"")&lt;=AN$6,IFERROR(INDEX('Job setup'!D$7:D$11,MATCH("oil-in",'Job setup'!I$7:I$11,0)),"")&gt;=AN$6),AND(IFERROR(INDEX('Job setup'!B$7:B$11,MATCH("post",'Job setup'!I$7:I$11,0)),"")="ON",IFERROR(INDEX('Job setup'!C$7:C$11,MATCH("post",'Job setup'!I$7:I$11,0)),"")&lt;=AN$6,IFERROR(INDEX('Job setup'!D$7:D$11,MATCH("post",'Job setup'!I$7:I$11,0)),"")&gt;=AN$6)))),0,IF(WEEKDAY(AN$6,1)=1,AN16*AN17,0)))</f>
        <v>0</v>
      </c>
      <c r="AO20" s="61">
        <f>IF(AND(AO16=0,AO17=0,AND(IFERROR(INDEX('Job setup'!B$7:B$11,MATCH("post",'Job setup'!I$7:I$11,0)),"")="ON",IFERROR(INDEX('Job setup'!C$7:C$11,MATCH("post",'Job setup'!I$7:I$11,0)),"")&lt;=AO$6,IFERROR(INDEX('Job setup'!D$7:D$11,MATCH("post",'Job setup'!I$7:I$11,0)),"")&gt;=AO$6,IFERROR(INDEX('Job setup'!G$7:G$11,MATCH("post",'Job setup'!I$7:I$11,0)),"")="YES",IFERROR(INDEX('Job setup'!H$7:H$11,MATCH("post",'Job setup'!I$7:I$11,0)),"")="5×8 — OT after 8 hours")),0,IF(OR(AO16&lt;=0,NOT(OR(AND(IFERROR(INDEX('Job setup'!B$7:B$11,MATCH("pre",'Job setup'!I$7:I$11,0)),"")="ON",IFERROR(INDEX('Job setup'!C$7:C$11,MATCH("pre",'Job setup'!I$7:I$11,0)),"")&lt;=AO$6,IFERROR(INDEX('Job setup'!D$7:D$11,MATCH("pre",'Job setup'!I$7:I$11,0)),"")&gt;=AO$6),AND(IFERROR(INDEX('Job setup'!B$7:B$11,MATCH("oil-out",'Job setup'!I$7:I$11,0)),"")="ON",IFERROR(INDEX('Job setup'!C$7:C$11,MATCH("oil-out",'Job setup'!I$7:I$11,0)),"")&lt;=AO$6,IFERROR(INDEX('Job setup'!D$7:D$11,MATCH("oil-out",'Job setup'!I$7:I$11,0)),"")&gt;=AO$6),AND(IFERROR(INDEX('Job setup'!B$7:B$11,MATCH("mech",'Job setup'!I$7:I$11,0)),"")="ON",IFERROR(INDEX('Job setup'!C$7:C$11,MATCH("mech",'Job setup'!I$7:I$11,0)),"")&lt;=AO$6,IFERROR(INDEX('Job setup'!D$7:D$11,MATCH("mech",'Job setup'!I$7:I$11,0)),"")&gt;=AO$6),AND(IFERROR(INDEX('Job setup'!B$7:B$11,MATCH("oil-in",'Job setup'!I$7:I$11,0)),"")="ON",IFERROR(INDEX('Job setup'!C$7:C$11,MATCH("oil-in",'Job setup'!I$7:I$11,0)),"")&lt;=AO$6,IFERROR(INDEX('Job setup'!D$7:D$11,MATCH("oil-in",'Job setup'!I$7:I$11,0)),"")&gt;=AO$6),AND(IFERROR(INDEX('Job setup'!B$7:B$11,MATCH("post",'Job setup'!I$7:I$11,0)),"")="ON",IFERROR(INDEX('Job setup'!C$7:C$11,MATCH("post",'Job setup'!I$7:I$11,0)),"")&lt;=AO$6,IFERROR(INDEX('Job setup'!D$7:D$11,MATCH("post",'Job setup'!I$7:I$11,0)),"")&gt;=AO$6)))),0,IF(WEEKDAY(AO$6,1)=1,AO16*AO17,0)))</f>
        <v>0</v>
      </c>
      <c r="AP20" s="63">
        <f>IF(AND(AP16=0,AP17=0,AND(IFERROR(INDEX('Job setup'!B$7:B$11,MATCH("post",'Job setup'!I$7:I$11,0)),"")="ON",IFERROR(INDEX('Job setup'!C$7:C$11,MATCH("post",'Job setup'!I$7:I$11,0)),"")&lt;=AP$6,IFERROR(INDEX('Job setup'!D$7:D$11,MATCH("post",'Job setup'!I$7:I$11,0)),"")&gt;=AP$6,IFERROR(INDEX('Job setup'!G$7:G$11,MATCH("post",'Job setup'!I$7:I$11,0)),"")="YES",IFERROR(INDEX('Job setup'!H$7:H$11,MATCH("post",'Job setup'!I$7:I$11,0)),"")="5×8 — OT after 8 hours")),0,IF(OR(AP16&lt;=0,NOT(OR(AND(IFERROR(INDEX('Job setup'!B$7:B$11,MATCH("pre",'Job setup'!I$7:I$11,0)),"")="ON",IFERROR(INDEX('Job setup'!C$7:C$11,MATCH("pre",'Job setup'!I$7:I$11,0)),"")&lt;=AP$6,IFERROR(INDEX('Job setup'!D$7:D$11,MATCH("pre",'Job setup'!I$7:I$11,0)),"")&gt;=AP$6),AND(IFERROR(INDEX('Job setup'!B$7:B$11,MATCH("oil-out",'Job setup'!I$7:I$11,0)),"")="ON",IFERROR(INDEX('Job setup'!C$7:C$11,MATCH("oil-out",'Job setup'!I$7:I$11,0)),"")&lt;=AP$6,IFERROR(INDEX('Job setup'!D$7:D$11,MATCH("oil-out",'Job setup'!I$7:I$11,0)),"")&gt;=AP$6),AND(IFERROR(INDEX('Job setup'!B$7:B$11,MATCH("mech",'Job setup'!I$7:I$11,0)),"")="ON",IFERROR(INDEX('Job setup'!C$7:C$11,MATCH("mech",'Job setup'!I$7:I$11,0)),"")&lt;=AP$6,IFERROR(INDEX('Job setup'!D$7:D$11,MATCH("mech",'Job setup'!I$7:I$11,0)),"")&gt;=AP$6),AND(IFERROR(INDEX('Job setup'!B$7:B$11,MATCH("oil-in",'Job setup'!I$7:I$11,0)),"")="ON",IFERROR(INDEX('Job setup'!C$7:C$11,MATCH("oil-in",'Job setup'!I$7:I$11,0)),"")&lt;=AP$6,IFERROR(INDEX('Job setup'!D$7:D$11,MATCH("oil-in",'Job setup'!I$7:I$11,0)),"")&gt;=AP$6),AND(IFERROR(INDEX('Job setup'!B$7:B$11,MATCH("post",'Job setup'!I$7:I$11,0)),"")="ON",IFERROR(INDEX('Job setup'!C$7:C$11,MATCH("post",'Job setup'!I$7:I$11,0)),"")&lt;=AP$6,IFERROR(INDEX('Job setup'!D$7:D$11,MATCH("post",'Job setup'!I$7:I$11,0)),"")&gt;=AP$6)))),0,IF(WEEKDAY(AP$6,1)=1,AP16*AP17,0)))</f>
        <v>0</v>
      </c>
      <c r="OU20" s="28" t="s">
        <v>88</v>
      </c>
    </row>
    <row r="21" ht="16" customHeight="1" spans="1:411" x14ac:dyDescent="0.25">
      <c r="A21" s="72"/>
      <c r="B21" s="77"/>
      <c r="C21" s="65">
        <f>I15*D21</f>
        <v>1820</v>
      </c>
      <c r="D21" s="65">
        <v>130</v>
      </c>
      <c r="E21" s="66" t="s">
        <v>65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88</v>
      </c>
    </row>
    <row r="22" ht="16" customHeight="1" spans="1:411" x14ac:dyDescent="0.25">
      <c r="A22" s="16" t="s">
        <v>77</v>
      </c>
      <c r="B22" s="17"/>
      <c r="C22" s="73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3">
        <f>SUM(J7,J15)</f>
        <v>58500.31999999999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7">
      <formula1>=_Lists!$D$1:$D$1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89</v>
      </c>
      <c r="B6" s="24" t="s">
        <v>90</v>
      </c>
      <c r="C6" s="24" t="s">
        <v>91</v>
      </c>
      <c r="D6" s="24" t="s">
        <v>92</v>
      </c>
      <c r="E6" s="24" t="s">
        <v>93</v>
      </c>
      <c r="F6" s="24" t="s">
        <v>94</v>
      </c>
      <c r="G6" s="24" t="s">
        <v>95</v>
      </c>
    </row>
    <row r="7" ht="16" customHeight="1" spans="1:7" x14ac:dyDescent="0.25">
      <c r="A7" s="12" t="s">
        <v>96</v>
      </c>
      <c r="B7" s="6" t="s">
        <v>97</v>
      </c>
      <c r="C7" s="8">
        <v>5</v>
      </c>
      <c r="D7" s="8">
        <v>3</v>
      </c>
      <c r="E7" s="64">
        <v>4464</v>
      </c>
      <c r="F7" s="64">
        <v>0</v>
      </c>
      <c r="G7" s="64">
        <f>C7*D7*E7+F7</f>
        <v>66960</v>
      </c>
    </row>
    <row r="8" ht="16" customHeight="1" spans="1:7" x14ac:dyDescent="0.25">
      <c r="A8" s="29" t="s">
        <v>98</v>
      </c>
      <c r="B8" s="9" t="s">
        <v>97</v>
      </c>
      <c r="C8" s="11">
        <v>3</v>
      </c>
      <c r="D8" s="11">
        <v>2</v>
      </c>
      <c r="E8" s="59">
        <v>612</v>
      </c>
      <c r="F8" s="59">
        <v>0</v>
      </c>
      <c r="G8" s="59">
        <f>C8*D8*E8+F8</f>
        <v>3672</v>
      </c>
    </row>
    <row r="9" ht="16" customHeight="1" spans="1:7" x14ac:dyDescent="0.25">
      <c r="A9" s="12" t="s">
        <v>99</v>
      </c>
      <c r="B9" s="6" t="s">
        <v>97</v>
      </c>
      <c r="C9" s="8">
        <v>3</v>
      </c>
      <c r="D9" s="8">
        <v>2</v>
      </c>
      <c r="E9" s="64">
        <v>936</v>
      </c>
      <c r="F9" s="64">
        <v>0</v>
      </c>
      <c r="G9" s="64">
        <f>C9*D9*E9+F9</f>
        <v>5616</v>
      </c>
    </row>
    <row r="10" ht="16" customHeight="1" spans="1:7" x14ac:dyDescent="0.25">
      <c r="A10" s="29" t="s">
        <v>100</v>
      </c>
      <c r="B10" s="9" t="s">
        <v>101</v>
      </c>
      <c r="C10" s="11">
        <v>1</v>
      </c>
      <c r="D10" s="11">
        <v>32</v>
      </c>
      <c r="E10" s="59">
        <v>1160</v>
      </c>
      <c r="F10" s="59">
        <v>0</v>
      </c>
      <c r="G10" s="59">
        <f>C10*D10*E10+F10</f>
        <v>37120</v>
      </c>
    </row>
    <row r="11" ht="16" customHeight="1" spans="1:7" x14ac:dyDescent="0.25">
      <c r="A11" s="16" t="s">
        <v>77</v>
      </c>
      <c r="B11" s="17"/>
      <c r="C11" s="17"/>
      <c r="D11" s="17"/>
      <c r="E11" s="17"/>
      <c r="F11" s="17"/>
      <c r="G11" s="7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102</v>
      </c>
      <c r="B6" s="24" t="s">
        <v>103</v>
      </c>
      <c r="C6" s="24" t="s">
        <v>104</v>
      </c>
      <c r="D6" s="24" t="s">
        <v>105</v>
      </c>
      <c r="E6" s="24" t="s">
        <v>95</v>
      </c>
    </row>
    <row r="7" ht="16" customHeight="1" spans="1:5" x14ac:dyDescent="0.25">
      <c r="A7" s="12" t="s">
        <v>106</v>
      </c>
      <c r="B7" s="8">
        <v>6</v>
      </c>
      <c r="C7" s="8">
        <v>1500</v>
      </c>
      <c r="D7" s="64">
        <v>0.76</v>
      </c>
      <c r="E7" s="64">
        <f>B7*C7*D7</f>
        <v>6840</v>
      </c>
    </row>
    <row r="8" ht="16" customHeight="1" spans="1:5" x14ac:dyDescent="0.25">
      <c r="A8" s="16" t="s">
        <v>77</v>
      </c>
      <c r="B8" s="17"/>
      <c r="C8" s="17"/>
      <c r="D8" s="17"/>
      <c r="E8" s="7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89</v>
      </c>
      <c r="B6" s="24" t="s">
        <v>107</v>
      </c>
      <c r="C6" s="24" t="s">
        <v>91</v>
      </c>
      <c r="D6" s="24" t="s">
        <v>108</v>
      </c>
      <c r="E6" s="24" t="s">
        <v>95</v>
      </c>
    </row>
    <row r="7" ht="16" customHeight="1" spans="1:5" x14ac:dyDescent="0.25">
      <c r="A7" s="12" t="s">
        <v>109</v>
      </c>
      <c r="B7" s="6" t="s">
        <v>110</v>
      </c>
      <c r="C7" s="8">
        <v>3.5</v>
      </c>
      <c r="D7" s="64">
        <v>1000</v>
      </c>
      <c r="E7" s="64">
        <f>C7*D7</f>
        <v>3500</v>
      </c>
    </row>
    <row r="8" ht="16" customHeight="1" spans="1:5" x14ac:dyDescent="0.25">
      <c r="A8" s="29" t="s">
        <v>111</v>
      </c>
      <c r="B8" s="9" t="s">
        <v>112</v>
      </c>
      <c r="C8" s="11">
        <v>1</v>
      </c>
      <c r="D8" s="59">
        <v>1200</v>
      </c>
      <c r="E8" s="59">
        <f>C8*D8</f>
        <v>1200</v>
      </c>
    </row>
    <row r="9" ht="16" customHeight="1" spans="1:5" x14ac:dyDescent="0.25">
      <c r="A9" s="12" t="s">
        <v>113</v>
      </c>
      <c r="B9" s="6" t="s">
        <v>114</v>
      </c>
      <c r="C9" s="8">
        <v>1</v>
      </c>
      <c r="D9" s="64">
        <v>6000</v>
      </c>
      <c r="E9" s="64">
        <f>C9*D9</f>
        <v>6000</v>
      </c>
    </row>
    <row r="10" ht="16" customHeight="1" spans="1:5" x14ac:dyDescent="0.25">
      <c r="A10" s="16" t="s">
        <v>77</v>
      </c>
      <c r="B10" s="17"/>
      <c r="C10" s="17"/>
      <c r="D10" s="17"/>
      <c r="E10" s="7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115</v>
      </c>
      <c r="B6" s="24" t="s">
        <v>116</v>
      </c>
      <c r="C6" s="24" t="s">
        <v>117</v>
      </c>
      <c r="D6" s="24" t="s">
        <v>118</v>
      </c>
      <c r="E6" s="24" t="s">
        <v>119</v>
      </c>
      <c r="F6" s="24" t="s">
        <v>120</v>
      </c>
    </row>
    <row r="7" ht="16" customHeight="1" spans="1:6" x14ac:dyDescent="0.25">
      <c r="A7" s="12" t="s">
        <v>58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ht="16" customHeight="1" spans="1:6" x14ac:dyDescent="0.25">
      <c r="A8" s="29" t="s">
        <v>68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ht="16" customHeight="1" spans="1:6" x14ac:dyDescent="0.25">
      <c r="A9" s="12" t="s">
        <v>71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ht="16" customHeight="1" spans="1:6" x14ac:dyDescent="0.25">
      <c r="A10" s="29" t="s">
        <v>74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ht="16" customHeight="1" spans="1:6" x14ac:dyDescent="0.25">
      <c r="A11" s="12" t="s">
        <v>78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ht="16" customHeight="1" spans="1:6" x14ac:dyDescent="0.25">
      <c r="A12" s="29" t="s">
        <v>81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ht="16" customHeight="1" spans="1:6" x14ac:dyDescent="0.25">
      <c r="A13" s="12" t="s">
        <v>87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  <row r="14" ht="16" customHeight="1" spans="1:6" x14ac:dyDescent="0.25">
      <c r="A14" s="29" t="s">
        <v>121</v>
      </c>
      <c r="B14" s="59">
        <v>83</v>
      </c>
      <c r="C14" s="59">
        <v>130.12</v>
      </c>
      <c r="D14" s="59">
        <v>179.42</v>
      </c>
      <c r="E14" s="59">
        <v>228.72</v>
      </c>
      <c r="F14" s="59">
        <v>140</v>
      </c>
    </row>
    <row r="15" ht="16" customHeight="1" spans="1:6" x14ac:dyDescent="0.25">
      <c r="A15" s="12" t="s">
        <v>122</v>
      </c>
      <c r="B15" s="64">
        <v>80</v>
      </c>
      <c r="C15" s="64">
        <v>126.27</v>
      </c>
      <c r="D15" s="64">
        <v>173.79</v>
      </c>
      <c r="E15" s="64">
        <v>221.31</v>
      </c>
      <c r="F15" s="64">
        <v>140</v>
      </c>
    </row>
    <row r="16" ht="16" customHeight="1" spans="1:6" x14ac:dyDescent="0.25">
      <c r="A16" s="29" t="s">
        <v>123</v>
      </c>
      <c r="B16" s="59">
        <v>85</v>
      </c>
      <c r="C16" s="59">
        <v>132.68</v>
      </c>
      <c r="D16" s="59">
        <v>183.17</v>
      </c>
      <c r="E16" s="59">
        <v>233.66</v>
      </c>
      <c r="F16" s="59">
        <v>140</v>
      </c>
    </row>
    <row r="17" ht="16" customHeight="1" spans="1:6" x14ac:dyDescent="0.25">
      <c r="A17" s="12" t="s">
        <v>124</v>
      </c>
      <c r="B17" s="64">
        <v>80</v>
      </c>
      <c r="C17" s="64">
        <v>126.27</v>
      </c>
      <c r="D17" s="64">
        <v>173.79</v>
      </c>
      <c r="E17" s="64">
        <v>221.31</v>
      </c>
      <c r="F17" s="64">
        <v>140</v>
      </c>
    </row>
    <row r="18" ht="16" customHeight="1" spans="1:6" x14ac:dyDescent="0.25">
      <c r="A18" s="29" t="s">
        <v>125</v>
      </c>
      <c r="B18" s="59">
        <v>72</v>
      </c>
      <c r="C18" s="59">
        <v>116.01</v>
      </c>
      <c r="D18" s="59">
        <v>158.78</v>
      </c>
      <c r="E18" s="59">
        <v>201.55</v>
      </c>
      <c r="F18" s="59">
        <v>140</v>
      </c>
    </row>
    <row r="19" ht="16" customHeight="1" spans="1:6" x14ac:dyDescent="0.25">
      <c r="A19" s="12" t="s">
        <v>126</v>
      </c>
      <c r="B19" s="64">
        <v>70</v>
      </c>
      <c r="C19" s="64">
        <v>113.45</v>
      </c>
      <c r="D19" s="64">
        <v>155.03</v>
      </c>
      <c r="E19" s="64">
        <v>196.61</v>
      </c>
      <c r="F19" s="64">
        <v>140</v>
      </c>
    </row>
    <row r="20" ht="16" customHeight="1" spans="1:6" x14ac:dyDescent="0.25">
      <c r="A20" s="29" t="s">
        <v>127</v>
      </c>
      <c r="B20" s="59">
        <v>36</v>
      </c>
      <c r="C20" s="59">
        <v>69.86</v>
      </c>
      <c r="D20" s="59">
        <v>91.25</v>
      </c>
      <c r="E20" s="59">
        <v>112.63</v>
      </c>
      <c r="F20" s="59">
        <v>140</v>
      </c>
    </row>
    <row r="21" ht="16" customHeight="1" spans="1:6" x14ac:dyDescent="0.25">
      <c r="A21" s="12" t="s">
        <v>128</v>
      </c>
      <c r="B21" s="64">
        <v>34</v>
      </c>
      <c r="C21" s="64">
        <v>67.3</v>
      </c>
      <c r="D21" s="64">
        <v>87.49</v>
      </c>
      <c r="E21" s="64">
        <v>107.69</v>
      </c>
      <c r="F21" s="64">
        <v>140</v>
      </c>
    </row>
    <row r="22" ht="16" customHeight="1" spans="1:6" x14ac:dyDescent="0.25">
      <c r="A22" s="29" t="s">
        <v>129</v>
      </c>
      <c r="B22" s="59">
        <v>40</v>
      </c>
      <c r="C22" s="59">
        <v>74.99</v>
      </c>
      <c r="D22" s="59">
        <v>98.75</v>
      </c>
      <c r="E22" s="59">
        <v>122.51</v>
      </c>
      <c r="F22" s="59">
        <v>140</v>
      </c>
    </row>
    <row r="23" ht="16" customHeight="1" spans="1:6" x14ac:dyDescent="0.25">
      <c r="A23" s="12" t="s">
        <v>130</v>
      </c>
      <c r="B23" s="64">
        <v>38</v>
      </c>
      <c r="C23" s="64">
        <v>72.43</v>
      </c>
      <c r="D23" s="64">
        <v>95</v>
      </c>
      <c r="E23" s="64">
        <v>117.57</v>
      </c>
      <c r="F23" s="64">
        <v>140</v>
      </c>
    </row>
    <row r="24" ht="16" customHeight="1" spans="1:6" x14ac:dyDescent="0.25">
      <c r="A24" s="29" t="s">
        <v>131</v>
      </c>
      <c r="B24" s="59">
        <v>32</v>
      </c>
      <c r="C24" s="59">
        <v>64.73</v>
      </c>
      <c r="D24" s="59">
        <v>83.74</v>
      </c>
      <c r="E24" s="59">
        <v>102.75</v>
      </c>
      <c r="F24" s="59">
        <v>140</v>
      </c>
    </row>
    <row r="25" ht="16" customHeight="1" spans="1:6" x14ac:dyDescent="0.25">
      <c r="A25" s="12" t="s">
        <v>132</v>
      </c>
      <c r="B25" s="64">
        <v>30</v>
      </c>
      <c r="C25" s="64">
        <v>62.17</v>
      </c>
      <c r="D25" s="64">
        <v>79.99</v>
      </c>
      <c r="E25" s="64">
        <v>97.81</v>
      </c>
      <c r="F25" s="64">
        <v>140</v>
      </c>
    </row>
    <row r="26" ht="16" customHeight="1" spans="1:6" x14ac:dyDescent="0.25">
      <c r="A26" s="29" t="s">
        <v>133</v>
      </c>
      <c r="B26" s="59">
        <v>38</v>
      </c>
      <c r="C26" s="59">
        <v>72.43</v>
      </c>
      <c r="D26" s="59">
        <v>95</v>
      </c>
      <c r="E26" s="59">
        <v>117.57</v>
      </c>
      <c r="F26" s="59">
        <v>140</v>
      </c>
    </row>
    <row r="27" ht="16" customHeight="1" spans="1:6" x14ac:dyDescent="0.25">
      <c r="A27" s="12" t="s">
        <v>134</v>
      </c>
      <c r="B27" s="64">
        <v>36</v>
      </c>
      <c r="C27" s="64">
        <v>69.86</v>
      </c>
      <c r="D27" s="64">
        <v>91.25</v>
      </c>
      <c r="E27" s="64">
        <v>112.63</v>
      </c>
      <c r="F27" s="64">
        <v>140</v>
      </c>
    </row>
    <row r="28" ht="16" customHeight="1" spans="1:6" x14ac:dyDescent="0.25">
      <c r="A28" s="29" t="s">
        <v>135</v>
      </c>
      <c r="B28" s="59">
        <v>45</v>
      </c>
      <c r="C28" s="59">
        <v>81.4</v>
      </c>
      <c r="D28" s="59">
        <v>108.13</v>
      </c>
      <c r="E28" s="59">
        <v>134.86</v>
      </c>
      <c r="F28" s="59">
        <v>140</v>
      </c>
    </row>
    <row r="29" ht="16" customHeight="1" spans="1:6" x14ac:dyDescent="0.25">
      <c r="A29" s="12" t="s">
        <v>136</v>
      </c>
      <c r="B29" s="64">
        <v>43</v>
      </c>
      <c r="C29" s="64">
        <v>78.84</v>
      </c>
      <c r="D29" s="64">
        <v>104.38</v>
      </c>
      <c r="E29" s="64">
        <v>129.92</v>
      </c>
      <c r="F29" s="64">
        <v>140</v>
      </c>
    </row>
    <row r="30" ht="16" customHeight="1" spans="1:6" x14ac:dyDescent="0.25">
      <c r="A30" s="29" t="s">
        <v>137</v>
      </c>
      <c r="B30" s="59">
        <v>52</v>
      </c>
      <c r="C30" s="59">
        <v>118.87</v>
      </c>
      <c r="D30" s="59">
        <v>167.02</v>
      </c>
      <c r="E30" s="59">
        <v>215.16</v>
      </c>
      <c r="F30" s="59">
        <v>140</v>
      </c>
    </row>
    <row r="31" ht="16" customHeight="1" spans="1:6" x14ac:dyDescent="0.25">
      <c r="A31" s="12" t="s">
        <v>138</v>
      </c>
      <c r="B31" s="64">
        <v>50</v>
      </c>
      <c r="C31" s="64">
        <v>116.45</v>
      </c>
      <c r="D31" s="64">
        <v>163.43</v>
      </c>
      <c r="E31" s="64">
        <v>210.4</v>
      </c>
      <c r="F31" s="64">
        <v>140</v>
      </c>
    </row>
    <row r="32" ht="16" customHeight="1" spans="1:6" x14ac:dyDescent="0.25">
      <c r="A32" s="29" t="s">
        <v>139</v>
      </c>
      <c r="B32" s="59">
        <v>57</v>
      </c>
      <c r="C32" s="59">
        <v>96.78</v>
      </c>
      <c r="D32" s="59">
        <v>130.64</v>
      </c>
      <c r="E32" s="59">
        <v>164.5</v>
      </c>
      <c r="F32" s="59">
        <v>140</v>
      </c>
    </row>
    <row r="33" ht="16" customHeight="1" spans="1:6" x14ac:dyDescent="0.25">
      <c r="A33" s="12" t="s">
        <v>140</v>
      </c>
      <c r="B33" s="19"/>
      <c r="C33" s="64">
        <v>124.93</v>
      </c>
      <c r="D33" s="64">
        <v>176</v>
      </c>
      <c r="E33" s="64">
        <v>227.06</v>
      </c>
      <c r="F33" s="64">
        <v>140</v>
      </c>
    </row>
    <row r="34" ht="16" customHeight="1" spans="1:6" x14ac:dyDescent="0.25">
      <c r="A34" s="29" t="s">
        <v>141</v>
      </c>
      <c r="B34" s="59">
        <v>55</v>
      </c>
      <c r="C34" s="59">
        <v>122.51</v>
      </c>
      <c r="D34" s="59">
        <v>172.41</v>
      </c>
      <c r="E34" s="59">
        <v>222.3</v>
      </c>
      <c r="F34" s="59">
        <v>140</v>
      </c>
    </row>
    <row r="35" ht="16" customHeight="1" spans="1:6" x14ac:dyDescent="0.25">
      <c r="A35" s="12" t="s">
        <v>142</v>
      </c>
      <c r="B35" s="19"/>
      <c r="C35" s="64">
        <v>105.54</v>
      </c>
      <c r="D35" s="64">
        <v>147.16</v>
      </c>
      <c r="E35" s="64">
        <v>188.78</v>
      </c>
      <c r="F35" s="64">
        <v>140</v>
      </c>
    </row>
    <row r="36" ht="16" customHeight="1" spans="1:6" x14ac:dyDescent="0.25">
      <c r="A36" s="29" t="s">
        <v>143</v>
      </c>
      <c r="B36" s="59">
        <v>52.5</v>
      </c>
      <c r="C36" s="59">
        <v>105.05</v>
      </c>
      <c r="D36" s="59">
        <v>146.44</v>
      </c>
      <c r="E36" s="59">
        <v>187.82</v>
      </c>
      <c r="F36" s="59">
        <v>140</v>
      </c>
    </row>
    <row r="37" ht="16" customHeight="1" spans="1:6" x14ac:dyDescent="0.25">
      <c r="A37" s="12" t="s">
        <v>144</v>
      </c>
      <c r="B37" s="64">
        <v>52</v>
      </c>
      <c r="C37" s="64">
        <v>104.44</v>
      </c>
      <c r="D37" s="64">
        <v>145.53</v>
      </c>
      <c r="E37" s="64">
        <v>186.62</v>
      </c>
      <c r="F37" s="64">
        <v>140</v>
      </c>
    </row>
    <row r="38" ht="16" customHeight="1" spans="1:6" x14ac:dyDescent="0.25">
      <c r="A38" s="29" t="s">
        <v>145</v>
      </c>
      <c r="B38" s="59">
        <v>52.5</v>
      </c>
      <c r="C38" s="59">
        <v>91.02</v>
      </c>
      <c r="D38" s="59">
        <v>122.2</v>
      </c>
      <c r="E38" s="59">
        <v>153.39</v>
      </c>
      <c r="F38" s="59">
        <v>140</v>
      </c>
    </row>
    <row r="39" ht="16" customHeight="1" spans="1:6" x14ac:dyDescent="0.25">
      <c r="A39" s="12" t="s">
        <v>146</v>
      </c>
      <c r="B39" s="64">
        <v>50.5</v>
      </c>
      <c r="C39" s="64">
        <v>88.45</v>
      </c>
      <c r="D39" s="64">
        <v>118.45</v>
      </c>
      <c r="E39" s="64">
        <v>148.45</v>
      </c>
      <c r="F39" s="64">
        <v>140</v>
      </c>
    </row>
    <row r="40" ht="16" customHeight="1" spans="1:6" x14ac:dyDescent="0.25">
      <c r="A40" s="29" t="s">
        <v>147</v>
      </c>
      <c r="B40" s="59">
        <v>44</v>
      </c>
      <c r="C40" s="59">
        <v>109.18</v>
      </c>
      <c r="D40" s="59">
        <v>152.65</v>
      </c>
      <c r="E40" s="59">
        <v>196.12</v>
      </c>
      <c r="F40" s="59">
        <v>140</v>
      </c>
    </row>
    <row r="41" ht="16" customHeight="1" spans="1:6" x14ac:dyDescent="0.25">
      <c r="A41" s="12" t="s">
        <v>148</v>
      </c>
      <c r="B41" s="64">
        <v>42</v>
      </c>
      <c r="C41" s="64">
        <v>106.75</v>
      </c>
      <c r="D41" s="64">
        <v>149.06</v>
      </c>
      <c r="E41" s="64">
        <v>191.36</v>
      </c>
      <c r="F41" s="64">
        <v>140</v>
      </c>
    </row>
    <row r="42" ht="16" customHeight="1" spans="1:6" x14ac:dyDescent="0.25">
      <c r="A42" s="29" t="s">
        <v>149</v>
      </c>
      <c r="B42" s="59">
        <v>53.1</v>
      </c>
      <c r="C42" s="59">
        <v>105.79</v>
      </c>
      <c r="D42" s="59">
        <v>147.52</v>
      </c>
      <c r="E42" s="59">
        <v>189.26</v>
      </c>
      <c r="F42" s="59">
        <v>140</v>
      </c>
    </row>
    <row r="43" ht="16" customHeight="1" spans="1:6" x14ac:dyDescent="0.25">
      <c r="A43" s="12" t="s">
        <v>150</v>
      </c>
      <c r="B43" s="64">
        <v>52.6</v>
      </c>
      <c r="C43" s="64">
        <v>105.17</v>
      </c>
      <c r="D43" s="64">
        <v>146.62</v>
      </c>
      <c r="E43" s="64">
        <v>188.06</v>
      </c>
      <c r="F43" s="64">
        <v>140</v>
      </c>
    </row>
    <row r="44" ht="16" customHeight="1" spans="1:6" x14ac:dyDescent="0.25">
      <c r="A44" s="29" t="s">
        <v>151</v>
      </c>
      <c r="B44" s="59">
        <v>52.1</v>
      </c>
      <c r="C44" s="59">
        <v>104.56</v>
      </c>
      <c r="D44" s="59">
        <v>145.71</v>
      </c>
      <c r="E44" s="59">
        <v>186.86</v>
      </c>
      <c r="F44" s="59">
        <v>140</v>
      </c>
    </row>
    <row r="45" ht="16" customHeight="1" spans="1:6" x14ac:dyDescent="0.25">
      <c r="A45" s="12" t="s">
        <v>152</v>
      </c>
      <c r="B45" s="64">
        <v>43</v>
      </c>
      <c r="C45" s="64">
        <v>107.97</v>
      </c>
      <c r="D45" s="64">
        <v>150.85</v>
      </c>
      <c r="E45" s="64">
        <v>193.74</v>
      </c>
      <c r="F45" s="64">
        <v>140</v>
      </c>
    </row>
    <row r="46" ht="16" customHeight="1" spans="1:6" x14ac:dyDescent="0.25">
      <c r="A46" s="29" t="s">
        <v>153</v>
      </c>
      <c r="B46" s="15"/>
      <c r="C46" s="59">
        <v>105.54</v>
      </c>
      <c r="D46" s="59">
        <v>147.26</v>
      </c>
      <c r="E46" s="59">
        <v>188.98</v>
      </c>
      <c r="F46" s="59">
        <v>140</v>
      </c>
    </row>
    <row r="47" ht="16" customHeight="1" spans="1:6" x14ac:dyDescent="0.25">
      <c r="A47" s="12" t="s">
        <v>154</v>
      </c>
      <c r="B47" s="64">
        <v>68</v>
      </c>
      <c r="C47" s="64">
        <v>110.89</v>
      </c>
      <c r="D47" s="64">
        <v>151.28</v>
      </c>
      <c r="E47" s="64">
        <v>191.67</v>
      </c>
      <c r="F47" s="64">
        <v>140</v>
      </c>
    </row>
    <row r="48" ht="16" customHeight="1" spans="1:6" x14ac:dyDescent="0.25">
      <c r="A48" s="29" t="s">
        <v>155</v>
      </c>
      <c r="B48" s="59">
        <v>66</v>
      </c>
      <c r="C48" s="59">
        <v>108.32</v>
      </c>
      <c r="D48" s="59">
        <v>147.53</v>
      </c>
      <c r="E48" s="59">
        <v>186.73</v>
      </c>
      <c r="F48" s="59">
        <v>140</v>
      </c>
    </row>
    <row r="49" ht="16" customHeight="1" spans="1:6" x14ac:dyDescent="0.25">
      <c r="A49" s="12" t="s">
        <v>156</v>
      </c>
      <c r="B49" s="64">
        <v>53.9</v>
      </c>
      <c r="C49" s="64">
        <v>106.77</v>
      </c>
      <c r="D49" s="64">
        <v>148.97</v>
      </c>
      <c r="E49" s="64">
        <v>191.17</v>
      </c>
      <c r="F49" s="64">
        <v>140</v>
      </c>
    </row>
    <row r="50" ht="16" customHeight="1" spans="1:6" x14ac:dyDescent="0.25">
      <c r="A50" s="29" t="s">
        <v>157</v>
      </c>
      <c r="B50" s="59">
        <v>65</v>
      </c>
      <c r="C50" s="59">
        <v>107.04</v>
      </c>
      <c r="D50" s="59">
        <v>145.65</v>
      </c>
      <c r="E50" s="59">
        <v>184.26</v>
      </c>
      <c r="F50" s="59">
        <v>140</v>
      </c>
    </row>
    <row r="51" ht="16" customHeight="1" spans="1:6" x14ac:dyDescent="0.25">
      <c r="A51" s="12" t="s">
        <v>158</v>
      </c>
      <c r="B51" s="64">
        <v>63</v>
      </c>
      <c r="C51" s="64">
        <v>104.48</v>
      </c>
      <c r="D51" s="64">
        <v>141.9</v>
      </c>
      <c r="E51" s="64">
        <v>179.32</v>
      </c>
      <c r="F51" s="64">
        <v>140</v>
      </c>
    </row>
    <row r="52" ht="16" customHeight="1" spans="1:6" x14ac:dyDescent="0.25">
      <c r="A52" s="29" t="s">
        <v>159</v>
      </c>
      <c r="B52" s="59">
        <v>55.9</v>
      </c>
      <c r="C52" s="59">
        <v>109.22</v>
      </c>
      <c r="D52" s="59">
        <v>152.59</v>
      </c>
      <c r="E52" s="59">
        <v>195.96</v>
      </c>
      <c r="F52" s="59">
        <v>140</v>
      </c>
    </row>
    <row r="53" ht="16" customHeight="1" spans="1:6" x14ac:dyDescent="0.25">
      <c r="A53" s="12" t="s">
        <v>160</v>
      </c>
      <c r="B53" s="64">
        <v>68</v>
      </c>
      <c r="C53" s="64">
        <v>117.61</v>
      </c>
      <c r="D53" s="64">
        <v>165.15</v>
      </c>
      <c r="E53" s="64">
        <v>212.68</v>
      </c>
      <c r="F53" s="64">
        <v>140</v>
      </c>
    </row>
    <row r="54" ht="16" customHeight="1" spans="1:6" x14ac:dyDescent="0.25">
      <c r="A54" s="29" t="s">
        <v>161</v>
      </c>
      <c r="B54" s="59">
        <v>66</v>
      </c>
      <c r="C54" s="59">
        <v>115.19</v>
      </c>
      <c r="D54" s="59">
        <v>161.56</v>
      </c>
      <c r="E54" s="59">
        <v>207.92</v>
      </c>
      <c r="F54" s="59">
        <v>140</v>
      </c>
    </row>
    <row r="55" ht="16" customHeight="1" spans="1:6" x14ac:dyDescent="0.25">
      <c r="A55" s="12" t="s">
        <v>162</v>
      </c>
      <c r="B55" s="64">
        <v>65</v>
      </c>
      <c r="C55" s="64">
        <v>120.04</v>
      </c>
      <c r="D55" s="64">
        <v>168.74</v>
      </c>
      <c r="E55" s="64">
        <v>217.44</v>
      </c>
      <c r="F55" s="64">
        <v>140</v>
      </c>
    </row>
    <row r="56" ht="16" customHeight="1" spans="1:6" x14ac:dyDescent="0.25">
      <c r="A56" s="29" t="s">
        <v>163</v>
      </c>
      <c r="B56" s="59">
        <v>63</v>
      </c>
      <c r="C56" s="59">
        <v>111.55</v>
      </c>
      <c r="D56" s="59">
        <v>156.17</v>
      </c>
      <c r="E56" s="59">
        <v>200.78</v>
      </c>
      <c r="F56" s="59">
        <v>140</v>
      </c>
    </row>
    <row r="57" ht="16" customHeight="1" spans="1:6" x14ac:dyDescent="0.25">
      <c r="A57" s="12" t="s">
        <v>164</v>
      </c>
      <c r="B57" s="64">
        <v>86.5</v>
      </c>
      <c r="C57" s="64">
        <v>134.6</v>
      </c>
      <c r="D57" s="64">
        <v>185.98</v>
      </c>
      <c r="E57" s="64">
        <v>237.37</v>
      </c>
      <c r="F57" s="64">
        <v>140</v>
      </c>
    </row>
    <row r="58" ht="16" customHeight="1" spans="1:6" x14ac:dyDescent="0.25">
      <c r="A58" s="29" t="s">
        <v>165</v>
      </c>
      <c r="B58" s="59">
        <v>82.5</v>
      </c>
      <c r="C58" s="59">
        <v>129.48</v>
      </c>
      <c r="D58" s="59">
        <v>178.48</v>
      </c>
      <c r="E58" s="59">
        <v>198.29</v>
      </c>
      <c r="F58" s="59">
        <v>140</v>
      </c>
    </row>
    <row r="59" ht="16" customHeight="1" spans="1:6" x14ac:dyDescent="0.25">
      <c r="A59" s="12" t="s">
        <v>166</v>
      </c>
      <c r="B59" s="64">
        <v>62</v>
      </c>
      <c r="C59" s="64">
        <v>130.99</v>
      </c>
      <c r="D59" s="64">
        <v>184.98</v>
      </c>
      <c r="E59" s="64">
        <v>238.96</v>
      </c>
      <c r="F59" s="64">
        <v>140</v>
      </c>
    </row>
    <row r="60" ht="16" customHeight="1" spans="1:6" x14ac:dyDescent="0.25">
      <c r="A60" s="29" t="s">
        <v>167</v>
      </c>
      <c r="B60" s="59">
        <v>60</v>
      </c>
      <c r="C60" s="59">
        <v>128.57</v>
      </c>
      <c r="D60" s="59">
        <v>181.39</v>
      </c>
      <c r="E60" s="59">
        <v>234.2</v>
      </c>
      <c r="F60" s="59">
        <v>140</v>
      </c>
    </row>
    <row r="61" ht="16" customHeight="1" spans="1:6" x14ac:dyDescent="0.25">
      <c r="A61" s="12" t="s">
        <v>168</v>
      </c>
      <c r="B61" s="64">
        <v>67.5</v>
      </c>
      <c r="C61" s="64">
        <v>123.45</v>
      </c>
      <c r="D61" s="64">
        <v>173.59</v>
      </c>
      <c r="E61" s="64">
        <v>223.74</v>
      </c>
      <c r="F61" s="64">
        <v>140</v>
      </c>
    </row>
    <row r="62" ht="16" customHeight="1" spans="1:6" x14ac:dyDescent="0.25">
      <c r="A62" s="29" t="s">
        <v>169</v>
      </c>
      <c r="B62" s="59">
        <v>59.9</v>
      </c>
      <c r="C62" s="59">
        <v>114.13</v>
      </c>
      <c r="D62" s="59">
        <v>159.83</v>
      </c>
      <c r="E62" s="59">
        <v>205.54</v>
      </c>
      <c r="F62" s="59">
        <v>140</v>
      </c>
    </row>
    <row r="63" ht="16" customHeight="1" spans="1:6" x14ac:dyDescent="0.25">
      <c r="A63" s="12" t="s">
        <v>170</v>
      </c>
      <c r="B63" s="64">
        <v>60.9</v>
      </c>
      <c r="C63" s="64">
        <v>115.35</v>
      </c>
      <c r="D63" s="64">
        <v>161.64</v>
      </c>
      <c r="E63" s="64">
        <v>207.94</v>
      </c>
      <c r="F63" s="64">
        <v>140</v>
      </c>
    </row>
    <row r="64" ht="16" customHeight="1" spans="1:6" x14ac:dyDescent="0.25">
      <c r="A64" s="29" t="s">
        <v>171</v>
      </c>
      <c r="B64" s="59">
        <v>60.5</v>
      </c>
      <c r="C64" s="59">
        <v>101.27</v>
      </c>
      <c r="D64" s="59">
        <v>137.21</v>
      </c>
      <c r="E64" s="59">
        <v>173.15</v>
      </c>
      <c r="F64" s="59">
        <v>140</v>
      </c>
    </row>
    <row r="65" ht="16" customHeight="1" spans="1:6" x14ac:dyDescent="0.25">
      <c r="A65" s="12" t="s">
        <v>172</v>
      </c>
      <c r="B65" s="64">
        <v>58</v>
      </c>
      <c r="C65" s="64">
        <v>98.07</v>
      </c>
      <c r="D65" s="64">
        <v>132.52</v>
      </c>
      <c r="E65" s="64">
        <v>166.97</v>
      </c>
      <c r="F65" s="64">
        <v>140</v>
      </c>
    </row>
    <row r="66" ht="16" customHeight="1" spans="1:6" x14ac:dyDescent="0.25">
      <c r="A66" s="29" t="s">
        <v>173</v>
      </c>
      <c r="B66" s="59">
        <v>60</v>
      </c>
      <c r="C66" s="59">
        <v>128.57</v>
      </c>
      <c r="D66" s="59">
        <v>181.39</v>
      </c>
      <c r="E66" s="59">
        <v>234.2</v>
      </c>
      <c r="F66" s="59">
        <v>140</v>
      </c>
    </row>
    <row r="67" ht="16" customHeight="1" spans="1:6" x14ac:dyDescent="0.25">
      <c r="A67" s="12" t="s">
        <v>174</v>
      </c>
      <c r="B67" s="64">
        <v>58</v>
      </c>
      <c r="C67" s="64">
        <v>126.15</v>
      </c>
      <c r="D67" s="64">
        <v>177.79</v>
      </c>
      <c r="E67" s="64">
        <v>229.44</v>
      </c>
      <c r="F67" s="64">
        <v>140</v>
      </c>
    </row>
    <row r="68" ht="16" customHeight="1" spans="1:6" x14ac:dyDescent="0.25">
      <c r="A68" s="29" t="s">
        <v>175</v>
      </c>
      <c r="B68" s="59">
        <v>62.5</v>
      </c>
      <c r="C68" s="59">
        <v>117.32</v>
      </c>
      <c r="D68" s="59">
        <v>164.54</v>
      </c>
      <c r="E68" s="59">
        <v>211.77</v>
      </c>
      <c r="F68" s="59">
        <v>140</v>
      </c>
    </row>
    <row r="69" ht="16" customHeight="1" spans="1:6" x14ac:dyDescent="0.25">
      <c r="A69" s="12" t="s">
        <v>176</v>
      </c>
      <c r="B69" s="64">
        <v>60.9</v>
      </c>
      <c r="C69" s="64">
        <v>115.35</v>
      </c>
      <c r="D69" s="64">
        <v>161.64</v>
      </c>
      <c r="E69" s="64">
        <v>207.94</v>
      </c>
      <c r="F69" s="64">
        <v>140</v>
      </c>
    </row>
    <row r="70" ht="16" customHeight="1" spans="1:6" x14ac:dyDescent="0.25">
      <c r="A70" s="29" t="s">
        <v>177</v>
      </c>
      <c r="B70" s="59">
        <v>58.9</v>
      </c>
      <c r="C70" s="59">
        <v>112.9</v>
      </c>
      <c r="D70" s="59">
        <v>158.02</v>
      </c>
      <c r="E70" s="59">
        <v>203.15</v>
      </c>
      <c r="F70" s="59">
        <v>140</v>
      </c>
    </row>
    <row r="71" ht="16" customHeight="1" spans="1:6" x14ac:dyDescent="0.25">
      <c r="A71" s="12" t="s">
        <v>178</v>
      </c>
      <c r="B71" s="64">
        <v>52.5</v>
      </c>
      <c r="C71" s="64">
        <v>91.02</v>
      </c>
      <c r="D71" s="64">
        <v>122.2</v>
      </c>
      <c r="E71" s="64">
        <v>153.39</v>
      </c>
      <c r="F71" s="64">
        <v>140</v>
      </c>
    </row>
    <row r="72" ht="16" customHeight="1" spans="1:6" x14ac:dyDescent="0.25">
      <c r="A72" s="29" t="s">
        <v>179</v>
      </c>
      <c r="B72" s="59">
        <v>50.5</v>
      </c>
      <c r="C72" s="59">
        <v>88.45</v>
      </c>
      <c r="D72" s="59">
        <v>118.45</v>
      </c>
      <c r="E72" s="59">
        <v>148.45</v>
      </c>
      <c r="F72" s="59">
        <v>140</v>
      </c>
    </row>
    <row r="73" ht="16" customHeight="1" spans="1:6" x14ac:dyDescent="0.25">
      <c r="A73" s="12" t="s">
        <v>180</v>
      </c>
      <c r="B73" s="64">
        <v>54.41</v>
      </c>
      <c r="C73" s="64">
        <v>107.39</v>
      </c>
      <c r="D73" s="64">
        <v>149.9</v>
      </c>
      <c r="E73" s="64">
        <v>192.39</v>
      </c>
      <c r="F73" s="64">
        <v>140</v>
      </c>
    </row>
    <row r="74" ht="16" customHeight="1" spans="1:6" x14ac:dyDescent="0.25">
      <c r="A74" s="29" t="s">
        <v>181</v>
      </c>
      <c r="B74" s="59">
        <v>90</v>
      </c>
      <c r="C74" s="59">
        <v>139.09</v>
      </c>
      <c r="D74" s="59">
        <v>192.55</v>
      </c>
      <c r="E74" s="59">
        <v>246.01</v>
      </c>
      <c r="F74" s="59">
        <v>140</v>
      </c>
    </row>
    <row r="75" ht="16" customHeight="1" spans="1:6" x14ac:dyDescent="0.25">
      <c r="A75" s="12" t="s">
        <v>182</v>
      </c>
      <c r="B75" s="64">
        <v>88</v>
      </c>
      <c r="C75" s="64">
        <v>136.53</v>
      </c>
      <c r="D75" s="64">
        <v>188.8</v>
      </c>
      <c r="E75" s="64">
        <v>241.07</v>
      </c>
      <c r="F75" s="64">
        <v>140</v>
      </c>
    </row>
    <row r="76" ht="16" customHeight="1" spans="1:6" x14ac:dyDescent="0.25">
      <c r="A76" s="29" t="s">
        <v>183</v>
      </c>
      <c r="B76" s="59">
        <v>71</v>
      </c>
      <c r="C76" s="59">
        <v>141.9</v>
      </c>
      <c r="D76" s="59">
        <v>201.14</v>
      </c>
      <c r="E76" s="59">
        <v>260.38</v>
      </c>
      <c r="F76" s="59">
        <v>140</v>
      </c>
    </row>
    <row r="77" ht="16" customHeight="1" spans="1:6" x14ac:dyDescent="0.25">
      <c r="A77" s="12" t="s">
        <v>184</v>
      </c>
      <c r="B77" s="64">
        <v>69</v>
      </c>
      <c r="C77" s="64">
        <v>139.48</v>
      </c>
      <c r="D77" s="64">
        <v>197.55</v>
      </c>
      <c r="E77" s="64">
        <v>255.62</v>
      </c>
      <c r="F77" s="64">
        <v>140</v>
      </c>
    </row>
    <row r="78" ht="16" customHeight="1" spans="1:6" x14ac:dyDescent="0.25">
      <c r="A78" s="29" t="s">
        <v>185</v>
      </c>
      <c r="B78" s="59">
        <v>55</v>
      </c>
      <c r="C78" s="59">
        <v>94.22</v>
      </c>
      <c r="D78" s="59">
        <v>126.89</v>
      </c>
      <c r="E78" s="59">
        <v>159.56</v>
      </c>
      <c r="F78" s="59">
        <v>140</v>
      </c>
    </row>
    <row r="79" ht="16" customHeight="1" spans="1:6" x14ac:dyDescent="0.25">
      <c r="A79" s="12" t="s">
        <v>186</v>
      </c>
      <c r="B79" s="64">
        <v>48</v>
      </c>
      <c r="C79" s="64">
        <v>85.25</v>
      </c>
      <c r="D79" s="64">
        <v>113.76</v>
      </c>
      <c r="E79" s="64">
        <v>142.27</v>
      </c>
      <c r="F79" s="64">
        <v>140</v>
      </c>
    </row>
    <row r="80" ht="16" customHeight="1" spans="1:6" x14ac:dyDescent="0.25">
      <c r="A80" s="29" t="s">
        <v>187</v>
      </c>
      <c r="B80" s="59">
        <v>83.5</v>
      </c>
      <c r="C80" s="59">
        <v>130.76</v>
      </c>
      <c r="D80" s="59">
        <v>180.36</v>
      </c>
      <c r="E80" s="59">
        <v>229.96</v>
      </c>
      <c r="F80" s="59">
        <v>140</v>
      </c>
    </row>
    <row r="81" ht="16" customHeight="1" spans="1:6" x14ac:dyDescent="0.25">
      <c r="A81" s="12" t="s">
        <v>188</v>
      </c>
      <c r="B81" s="64">
        <v>81.5</v>
      </c>
      <c r="C81" s="64">
        <v>128.19</v>
      </c>
      <c r="D81" s="64">
        <v>176.6</v>
      </c>
      <c r="E81" s="64">
        <v>225.02</v>
      </c>
      <c r="F81" s="64">
        <v>140</v>
      </c>
    </row>
    <row r="82" ht="16" customHeight="1" spans="1:6" x14ac:dyDescent="0.25">
      <c r="A82" s="29" t="s">
        <v>189</v>
      </c>
      <c r="B82" s="59">
        <v>83.5</v>
      </c>
      <c r="C82" s="59">
        <v>133.42</v>
      </c>
      <c r="D82" s="59">
        <v>188.57</v>
      </c>
      <c r="E82" s="59">
        <v>243.72</v>
      </c>
      <c r="F82" s="59">
        <v>140</v>
      </c>
    </row>
    <row r="83" ht="16" customHeight="1" spans="1:6" x14ac:dyDescent="0.25">
      <c r="A83" s="12" t="s">
        <v>190</v>
      </c>
      <c r="B83" s="64">
        <v>81.5</v>
      </c>
      <c r="C83" s="64">
        <v>121.25</v>
      </c>
      <c r="D83" s="64">
        <v>170.54</v>
      </c>
      <c r="E83" s="64">
        <v>219.82</v>
      </c>
      <c r="F83" s="64">
        <v>140</v>
      </c>
    </row>
    <row r="84" ht="16" customHeight="1" spans="1:6" x14ac:dyDescent="0.25">
      <c r="A84" s="29" t="s">
        <v>191</v>
      </c>
      <c r="B84" s="59">
        <v>70.58</v>
      </c>
      <c r="C84" s="59">
        <v>127.23</v>
      </c>
      <c r="D84" s="59">
        <v>179.17</v>
      </c>
      <c r="E84" s="59">
        <v>231.11</v>
      </c>
      <c r="F84" s="59">
        <v>140</v>
      </c>
    </row>
    <row r="85" ht="16" customHeight="1" spans="1:6" x14ac:dyDescent="0.25">
      <c r="A85" s="12" t="s">
        <v>192</v>
      </c>
      <c r="B85" s="64">
        <v>67.98</v>
      </c>
      <c r="C85" s="64">
        <v>124.04</v>
      </c>
      <c r="D85" s="64">
        <v>174.46</v>
      </c>
      <c r="E85" s="64">
        <v>224.89</v>
      </c>
      <c r="F85" s="64">
        <v>140</v>
      </c>
    </row>
    <row r="86" ht="16" customHeight="1" spans="1:6" x14ac:dyDescent="0.25">
      <c r="A86" s="29" t="s">
        <v>193</v>
      </c>
      <c r="B86" s="59">
        <v>63.98</v>
      </c>
      <c r="C86" s="59">
        <v>119.13</v>
      </c>
      <c r="D86" s="59">
        <v>167.22</v>
      </c>
      <c r="E86" s="59">
        <v>215.31</v>
      </c>
      <c r="F86" s="59">
        <v>140</v>
      </c>
    </row>
    <row r="87" ht="16" customHeight="1" spans="1:6" x14ac:dyDescent="0.25">
      <c r="A87" s="12" t="s">
        <v>194</v>
      </c>
      <c r="B87" s="64">
        <v>48.5</v>
      </c>
      <c r="C87" s="64">
        <v>85.89</v>
      </c>
      <c r="D87" s="64">
        <v>114.7</v>
      </c>
      <c r="E87" s="64">
        <v>143.51</v>
      </c>
      <c r="F87" s="64">
        <v>140</v>
      </c>
    </row>
    <row r="88" ht="16" customHeight="1" spans="1:6" x14ac:dyDescent="0.25">
      <c r="A88" s="29" t="s">
        <v>195</v>
      </c>
      <c r="B88" s="59">
        <v>46.5</v>
      </c>
      <c r="C88" s="59">
        <v>83.32</v>
      </c>
      <c r="D88" s="59">
        <v>110.94</v>
      </c>
      <c r="E88" s="59">
        <v>138.57</v>
      </c>
      <c r="F88" s="59">
        <v>140</v>
      </c>
    </row>
    <row r="89" ht="16" customHeight="1" spans="1:6" x14ac:dyDescent="0.25">
      <c r="A89" s="12" t="s">
        <v>196</v>
      </c>
      <c r="B89" s="64">
        <v>62.5</v>
      </c>
      <c r="C89" s="64">
        <v>103.84</v>
      </c>
      <c r="D89" s="64">
        <v>140.96</v>
      </c>
      <c r="E89" s="64">
        <v>178.09</v>
      </c>
      <c r="F89" s="64">
        <v>140</v>
      </c>
    </row>
    <row r="90" ht="16" customHeight="1" spans="1:6" x14ac:dyDescent="0.25">
      <c r="A90" s="29" t="s">
        <v>197</v>
      </c>
      <c r="B90" s="59">
        <v>60.5</v>
      </c>
      <c r="C90" s="59">
        <v>101.27</v>
      </c>
      <c r="D90" s="59">
        <v>137.21</v>
      </c>
      <c r="E90" s="59">
        <v>173.15</v>
      </c>
      <c r="F90" s="59">
        <v>140</v>
      </c>
    </row>
    <row r="91" ht="16" customHeight="1" spans="1:6" x14ac:dyDescent="0.25">
      <c r="A91" s="12" t="s">
        <v>198</v>
      </c>
      <c r="B91" s="64">
        <v>54.9</v>
      </c>
      <c r="C91" s="64">
        <v>107.99</v>
      </c>
      <c r="D91" s="64">
        <v>150.78</v>
      </c>
      <c r="E91" s="64">
        <v>193.57</v>
      </c>
      <c r="F91" s="64">
        <v>140</v>
      </c>
    </row>
    <row r="92" ht="16" customHeight="1" spans="1:6" x14ac:dyDescent="0.25">
      <c r="A92" s="29" t="s">
        <v>199</v>
      </c>
      <c r="B92" s="59">
        <v>52.9</v>
      </c>
      <c r="C92" s="59">
        <v>105.54</v>
      </c>
      <c r="D92" s="59">
        <v>147.16</v>
      </c>
      <c r="E92" s="59">
        <v>188.78</v>
      </c>
      <c r="F92" s="59">
        <v>140</v>
      </c>
    </row>
    <row r="93" ht="16" customHeight="1" spans="1:6" x14ac:dyDescent="0.25">
      <c r="A93" s="12" t="s">
        <v>200</v>
      </c>
      <c r="B93" s="64">
        <v>50.9</v>
      </c>
      <c r="C93" s="64">
        <v>103.09</v>
      </c>
      <c r="D93" s="64">
        <v>143.54</v>
      </c>
      <c r="E93" s="64">
        <v>183.99</v>
      </c>
      <c r="F93" s="64">
        <v>140</v>
      </c>
    </row>
    <row r="94" ht="16" customHeight="1" spans="1:6" x14ac:dyDescent="0.25">
      <c r="A94" s="29" t="s">
        <v>201</v>
      </c>
      <c r="B94" s="59">
        <v>53.9</v>
      </c>
      <c r="C94" s="59">
        <v>106.77</v>
      </c>
      <c r="D94" s="59">
        <v>148.97</v>
      </c>
      <c r="E94" s="59">
        <v>191.17</v>
      </c>
      <c r="F94" s="59">
        <v>140</v>
      </c>
    </row>
    <row r="95" ht="16" customHeight="1" spans="1:6" x14ac:dyDescent="0.25">
      <c r="A95" s="12" t="s">
        <v>202</v>
      </c>
      <c r="B95" s="64">
        <v>51.9</v>
      </c>
      <c r="C95" s="64">
        <v>104.32</v>
      </c>
      <c r="D95" s="64">
        <v>145.35</v>
      </c>
      <c r="E95" s="64">
        <v>186.38</v>
      </c>
      <c r="F95" s="64">
        <v>140</v>
      </c>
    </row>
    <row r="96" ht="16" customHeight="1" spans="1:6" x14ac:dyDescent="0.25">
      <c r="A96" s="29" t="s">
        <v>203</v>
      </c>
      <c r="B96" s="59">
        <v>76.5</v>
      </c>
      <c r="C96" s="59">
        <v>121.78</v>
      </c>
      <c r="D96" s="59">
        <v>167.22</v>
      </c>
      <c r="E96" s="59">
        <v>212.67</v>
      </c>
      <c r="F96" s="59">
        <v>140</v>
      </c>
    </row>
    <row r="97" ht="16" customHeight="1" spans="1:6" x14ac:dyDescent="0.25">
      <c r="A97" s="12" t="s">
        <v>204</v>
      </c>
      <c r="B97" s="64">
        <v>73.5</v>
      </c>
      <c r="C97" s="64">
        <v>117.94</v>
      </c>
      <c r="D97" s="64">
        <v>161.6</v>
      </c>
      <c r="E97" s="64">
        <v>205.26</v>
      </c>
      <c r="F97" s="64">
        <v>140</v>
      </c>
    </row>
    <row r="98" ht="16" customHeight="1" spans="1:6" x14ac:dyDescent="0.25">
      <c r="A98" s="29" t="s">
        <v>205</v>
      </c>
      <c r="B98" s="59">
        <v>59</v>
      </c>
      <c r="C98" s="59">
        <v>127.36</v>
      </c>
      <c r="D98" s="59">
        <v>179.59</v>
      </c>
      <c r="E98" s="59">
        <v>231.82</v>
      </c>
      <c r="F98" s="59">
        <v>140</v>
      </c>
    </row>
    <row r="99" ht="16" customHeight="1" spans="1:6" x14ac:dyDescent="0.25">
      <c r="A99" s="12" t="s">
        <v>206</v>
      </c>
      <c r="B99" s="64">
        <v>57</v>
      </c>
      <c r="C99" s="64">
        <v>124.93</v>
      </c>
      <c r="D99" s="64">
        <v>176</v>
      </c>
      <c r="E99" s="64">
        <v>227.06</v>
      </c>
      <c r="F99" s="64">
        <v>140</v>
      </c>
    </row>
    <row r="100" ht="16" customHeight="1" spans="1:6" x14ac:dyDescent="0.25">
      <c r="A100" s="29" t="s">
        <v>207</v>
      </c>
      <c r="B100" s="15"/>
      <c r="C100" s="59">
        <v>109.22</v>
      </c>
      <c r="D100" s="59">
        <v>152.59</v>
      </c>
      <c r="E100" s="59">
        <v>195.96</v>
      </c>
      <c r="F100" s="59">
        <v>140</v>
      </c>
    </row>
    <row r="101" ht="16" customHeight="1" spans="1:6" x14ac:dyDescent="0.25">
      <c r="A101" s="12" t="s">
        <v>208</v>
      </c>
      <c r="B101" s="19"/>
      <c r="C101" s="64">
        <v>106.77</v>
      </c>
      <c r="D101" s="64">
        <v>148.97</v>
      </c>
      <c r="E101" s="64">
        <v>191.17</v>
      </c>
      <c r="F101" s="64">
        <v>140</v>
      </c>
    </row>
    <row r="102" ht="16" customHeight="1" spans="1:6" x14ac:dyDescent="0.25">
      <c r="A102" s="29" t="s">
        <v>209</v>
      </c>
      <c r="B102" s="59">
        <v>50.6</v>
      </c>
      <c r="C102" s="59">
        <v>114.44</v>
      </c>
      <c r="D102" s="59">
        <v>161.76</v>
      </c>
      <c r="E102" s="59">
        <v>209.09</v>
      </c>
      <c r="F102" s="59">
        <v>140</v>
      </c>
    </row>
    <row r="103" ht="16" customHeight="1" spans="1:6" x14ac:dyDescent="0.25">
      <c r="A103" s="12" t="s">
        <v>210</v>
      </c>
      <c r="B103" s="64">
        <v>38.51</v>
      </c>
      <c r="C103" s="64">
        <v>94.82</v>
      </c>
      <c r="D103" s="64">
        <v>136.58</v>
      </c>
      <c r="E103" s="64">
        <v>178.35</v>
      </c>
      <c r="F103" s="64">
        <v>140</v>
      </c>
    </row>
    <row r="104" ht="16" customHeight="1" spans="1:6" x14ac:dyDescent="0.25">
      <c r="A104" s="29" t="s">
        <v>211</v>
      </c>
      <c r="B104" s="59">
        <v>38.01</v>
      </c>
      <c r="C104" s="59">
        <v>94.21</v>
      </c>
      <c r="D104" s="59">
        <v>135.68</v>
      </c>
      <c r="E104" s="59">
        <v>177.16</v>
      </c>
      <c r="F104" s="59">
        <v>140</v>
      </c>
    </row>
    <row r="105" ht="16" customHeight="1" spans="1:6" x14ac:dyDescent="0.25">
      <c r="A105" s="12" t="s">
        <v>212</v>
      </c>
      <c r="B105" s="19"/>
      <c r="C105" s="64">
        <v>111.71</v>
      </c>
      <c r="D105" s="64">
        <v>157.72</v>
      </c>
      <c r="E105" s="64">
        <v>203.73</v>
      </c>
      <c r="F105" s="64">
        <v>130</v>
      </c>
    </row>
    <row r="106" ht="16" customHeight="1" spans="1:6" x14ac:dyDescent="0.25">
      <c r="A106" s="29" t="s">
        <v>213</v>
      </c>
      <c r="B106" s="59">
        <v>49.1</v>
      </c>
      <c r="C106" s="59">
        <v>112.62</v>
      </c>
      <c r="D106" s="59">
        <v>159.07</v>
      </c>
      <c r="E106" s="59">
        <v>205.52</v>
      </c>
      <c r="F106" s="59">
        <v>130</v>
      </c>
    </row>
    <row r="107" ht="16" customHeight="1" spans="1:6" x14ac:dyDescent="0.25">
      <c r="A107" s="12" t="s">
        <v>214</v>
      </c>
      <c r="B107" s="64">
        <v>35.51</v>
      </c>
      <c r="C107" s="64">
        <v>91.18</v>
      </c>
      <c r="D107" s="64">
        <v>131.19</v>
      </c>
      <c r="E107" s="64">
        <v>171.21</v>
      </c>
      <c r="F107" s="64">
        <v>130</v>
      </c>
    </row>
    <row r="108" ht="16" customHeight="1" spans="1:6" x14ac:dyDescent="0.25">
      <c r="A108" s="29" t="s">
        <v>215</v>
      </c>
      <c r="B108" s="59">
        <v>36.51</v>
      </c>
      <c r="C108" s="59">
        <v>92.39</v>
      </c>
      <c r="D108" s="59">
        <v>132.99</v>
      </c>
      <c r="E108" s="59">
        <v>173.59</v>
      </c>
      <c r="F108" s="59">
        <v>130</v>
      </c>
    </row>
    <row r="109" ht="16" customHeight="1" spans="1:6" x14ac:dyDescent="0.25">
      <c r="A109" s="12" t="s">
        <v>216</v>
      </c>
      <c r="B109" s="64">
        <v>36.01</v>
      </c>
      <c r="C109" s="64">
        <v>91.79</v>
      </c>
      <c r="D109" s="64">
        <v>132.09</v>
      </c>
      <c r="E109" s="64">
        <v>172.4</v>
      </c>
      <c r="F109" s="64">
        <v>130</v>
      </c>
    </row>
    <row r="110" ht="16" customHeight="1" spans="1:6" x14ac:dyDescent="0.25">
      <c r="A110" s="29" t="s">
        <v>217</v>
      </c>
      <c r="B110" s="59">
        <v>37.01</v>
      </c>
      <c r="C110" s="59">
        <v>93</v>
      </c>
      <c r="D110" s="59">
        <v>133.89</v>
      </c>
      <c r="E110" s="59">
        <v>174.78</v>
      </c>
      <c r="F110" s="59">
        <v>130</v>
      </c>
    </row>
    <row r="111" ht="16" customHeight="1" spans="1:6" x14ac:dyDescent="0.25">
      <c r="A111" s="12" t="s">
        <v>218</v>
      </c>
      <c r="B111" s="64">
        <v>53.93</v>
      </c>
      <c r="C111" s="64">
        <v>105.28</v>
      </c>
      <c r="D111" s="64">
        <v>147.5</v>
      </c>
      <c r="E111" s="64">
        <v>189.72</v>
      </c>
      <c r="F111" s="64">
        <v>130</v>
      </c>
    </row>
    <row r="112" ht="16" customHeight="1" spans="1:6" x14ac:dyDescent="0.25">
      <c r="A112" s="29" t="s">
        <v>219</v>
      </c>
      <c r="B112" s="59">
        <v>33.6</v>
      </c>
      <c r="C112" s="59">
        <v>93.83</v>
      </c>
      <c r="D112" s="59">
        <v>131.23</v>
      </c>
      <c r="E112" s="59">
        <v>168.63</v>
      </c>
      <c r="F112" s="59">
        <v>130</v>
      </c>
    </row>
    <row r="113" ht="16" customHeight="1" spans="1:6" x14ac:dyDescent="0.25">
      <c r="A113" s="12" t="s">
        <v>220</v>
      </c>
      <c r="B113" s="64">
        <v>34.8</v>
      </c>
      <c r="C113" s="64">
        <v>95.29</v>
      </c>
      <c r="D113" s="64">
        <v>133.39</v>
      </c>
      <c r="E113" s="64">
        <v>171.48</v>
      </c>
      <c r="F113" s="64">
        <v>130</v>
      </c>
    </row>
    <row r="114" ht="16" customHeight="1" spans="1:6" x14ac:dyDescent="0.25">
      <c r="A114" s="29" t="s">
        <v>221</v>
      </c>
      <c r="B114" s="59">
        <v>36</v>
      </c>
      <c r="C114" s="59">
        <v>96.74</v>
      </c>
      <c r="D114" s="59">
        <v>135.54</v>
      </c>
      <c r="E114" s="59">
        <v>174.34</v>
      </c>
      <c r="F114" s="59">
        <v>130</v>
      </c>
    </row>
    <row r="115" ht="16" customHeight="1" spans="1:6" x14ac:dyDescent="0.25">
      <c r="A115" s="12" t="s">
        <v>222</v>
      </c>
      <c r="B115" s="64">
        <v>37.2</v>
      </c>
      <c r="C115" s="64">
        <v>98.2</v>
      </c>
      <c r="D115" s="64">
        <v>137.7</v>
      </c>
      <c r="E115" s="64">
        <v>177.2</v>
      </c>
      <c r="F115" s="64">
        <v>130</v>
      </c>
    </row>
    <row r="116" ht="16" customHeight="1" spans="1:6" x14ac:dyDescent="0.25">
      <c r="A116" s="29" t="s">
        <v>223</v>
      </c>
      <c r="B116" s="59">
        <v>38.4</v>
      </c>
      <c r="C116" s="59">
        <v>99.65</v>
      </c>
      <c r="D116" s="59">
        <v>139.85</v>
      </c>
      <c r="E116" s="59">
        <v>180.05</v>
      </c>
      <c r="F116" s="59">
        <v>130</v>
      </c>
    </row>
    <row r="117" ht="16" customHeight="1" spans="1:6" x14ac:dyDescent="0.25">
      <c r="A117" s="12" t="s">
        <v>224</v>
      </c>
      <c r="B117" s="64">
        <v>40.8</v>
      </c>
      <c r="C117" s="64">
        <v>102.56</v>
      </c>
      <c r="D117" s="64">
        <v>144.16</v>
      </c>
      <c r="E117" s="64">
        <v>185.76</v>
      </c>
      <c r="F117" s="64">
        <v>130</v>
      </c>
    </row>
    <row r="118" ht="16" customHeight="1" spans="1:6" x14ac:dyDescent="0.25">
      <c r="A118" s="29" t="s">
        <v>225</v>
      </c>
      <c r="B118" s="59">
        <v>43.2</v>
      </c>
      <c r="C118" s="59">
        <v>105.47</v>
      </c>
      <c r="D118" s="59">
        <v>148.47</v>
      </c>
      <c r="E118" s="59">
        <v>191.48</v>
      </c>
      <c r="F118" s="59">
        <v>130</v>
      </c>
    </row>
    <row r="119" ht="16" customHeight="1" spans="1:6" x14ac:dyDescent="0.25">
      <c r="A119" s="12" t="s">
        <v>226</v>
      </c>
      <c r="B119" s="64">
        <v>43.32</v>
      </c>
      <c r="C119" s="64">
        <v>105.61</v>
      </c>
      <c r="D119" s="64">
        <v>148.69</v>
      </c>
      <c r="E119" s="64">
        <v>191.76</v>
      </c>
      <c r="F119" s="64">
        <v>130</v>
      </c>
    </row>
    <row r="120" ht="16" customHeight="1" spans="1:6" x14ac:dyDescent="0.25">
      <c r="A120" s="29" t="s">
        <v>227</v>
      </c>
      <c r="B120" s="59">
        <v>27.25</v>
      </c>
      <c r="C120" s="59">
        <v>81.16</v>
      </c>
      <c r="D120" s="59">
        <v>116.35</v>
      </c>
      <c r="E120" s="59">
        <v>151.53</v>
      </c>
      <c r="F120" s="59">
        <v>130</v>
      </c>
    </row>
    <row r="121" ht="16" customHeight="1" spans="1:6" x14ac:dyDescent="0.25">
      <c r="A121" s="12" t="s">
        <v>228</v>
      </c>
      <c r="B121" s="64">
        <v>29.06</v>
      </c>
      <c r="C121" s="64">
        <v>83.37</v>
      </c>
      <c r="D121" s="64">
        <v>119.61</v>
      </c>
      <c r="E121" s="64">
        <v>155.86</v>
      </c>
      <c r="F121" s="64">
        <v>130</v>
      </c>
    </row>
    <row r="122" ht="16" customHeight="1" spans="1:6" x14ac:dyDescent="0.25">
      <c r="A122" s="29" t="s">
        <v>229</v>
      </c>
      <c r="B122" s="59">
        <v>30.88</v>
      </c>
      <c r="C122" s="59">
        <v>85.57</v>
      </c>
      <c r="D122" s="59">
        <v>122.87</v>
      </c>
      <c r="E122" s="59">
        <v>160.18</v>
      </c>
      <c r="F122" s="59">
        <v>130</v>
      </c>
    </row>
    <row r="123" ht="16" customHeight="1" spans="1:6" x14ac:dyDescent="0.25">
      <c r="A123" s="12" t="s">
        <v>230</v>
      </c>
      <c r="B123" s="64">
        <v>32.79</v>
      </c>
      <c r="C123" s="64">
        <v>87.88</v>
      </c>
      <c r="D123" s="64">
        <v>126.3</v>
      </c>
      <c r="E123" s="64">
        <v>164.72</v>
      </c>
      <c r="F123" s="64">
        <v>130</v>
      </c>
    </row>
    <row r="124" ht="16" customHeight="1" spans="1:6" x14ac:dyDescent="0.25">
      <c r="A124" s="29" t="s">
        <v>231</v>
      </c>
      <c r="B124" s="59">
        <v>34.51</v>
      </c>
      <c r="C124" s="59">
        <v>89.97</v>
      </c>
      <c r="D124" s="59">
        <v>129.4</v>
      </c>
      <c r="E124" s="59">
        <v>168.83</v>
      </c>
      <c r="F124" s="59">
        <v>130</v>
      </c>
    </row>
    <row r="125" ht="16" customHeight="1" spans="1:6" x14ac:dyDescent="0.25">
      <c r="A125" s="12" t="s">
        <v>232</v>
      </c>
      <c r="B125" s="64">
        <v>35.01</v>
      </c>
      <c r="C125" s="64">
        <v>90.58</v>
      </c>
      <c r="D125" s="64">
        <v>130.3</v>
      </c>
      <c r="E125" s="64">
        <v>170.02</v>
      </c>
      <c r="F125" s="64">
        <v>130</v>
      </c>
    </row>
    <row r="126" ht="16" customHeight="1" spans="1:6" x14ac:dyDescent="0.25">
      <c r="A126" s="29" t="s">
        <v>233</v>
      </c>
      <c r="B126" s="59">
        <v>49.12</v>
      </c>
      <c r="C126" s="59">
        <v>112.95</v>
      </c>
      <c r="D126" s="59">
        <v>161.76</v>
      </c>
      <c r="E126" s="59">
        <v>210.56</v>
      </c>
      <c r="F126" s="59">
        <v>130</v>
      </c>
    </row>
    <row r="127" ht="16" customHeight="1" spans="1:6" x14ac:dyDescent="0.25">
      <c r="A127" s="12" t="s">
        <v>234</v>
      </c>
      <c r="B127" s="64">
        <v>48.04</v>
      </c>
      <c r="C127" s="64">
        <v>111.65</v>
      </c>
      <c r="D127" s="64">
        <v>159.83</v>
      </c>
      <c r="E127" s="64">
        <v>208.01</v>
      </c>
      <c r="F127" s="64">
        <v>130</v>
      </c>
    </row>
    <row r="128" ht="16" customHeight="1" spans="1:6" x14ac:dyDescent="0.25">
      <c r="A128" s="29" t="s">
        <v>235</v>
      </c>
      <c r="B128" s="59">
        <v>43.79</v>
      </c>
      <c r="C128" s="59">
        <v>106.49</v>
      </c>
      <c r="D128" s="59">
        <v>152.18</v>
      </c>
      <c r="E128" s="59">
        <v>197.88</v>
      </c>
      <c r="F128" s="59">
        <v>130</v>
      </c>
    </row>
    <row r="129" ht="16" customHeight="1" spans="1:6" x14ac:dyDescent="0.25">
      <c r="A129" s="12" t="s">
        <v>236</v>
      </c>
      <c r="B129" s="64">
        <v>50.07</v>
      </c>
      <c r="C129" s="64">
        <v>114.1</v>
      </c>
      <c r="D129" s="64">
        <v>163.46</v>
      </c>
      <c r="E129" s="64">
        <v>212.82</v>
      </c>
      <c r="F129" s="64">
        <v>130</v>
      </c>
    </row>
    <row r="130" ht="16" customHeight="1" spans="1:6" x14ac:dyDescent="0.25">
      <c r="A130" s="29" t="s">
        <v>237</v>
      </c>
      <c r="B130" s="59">
        <v>51.02</v>
      </c>
      <c r="C130" s="59">
        <v>115.25</v>
      </c>
      <c r="D130" s="59">
        <v>165.17</v>
      </c>
      <c r="E130" s="59">
        <v>215.09</v>
      </c>
      <c r="F130" s="59">
        <v>130</v>
      </c>
    </row>
    <row r="131" ht="16" customHeight="1" spans="1:6" x14ac:dyDescent="0.25">
      <c r="A131" s="12" t="s">
        <v>238</v>
      </c>
      <c r="B131" s="64">
        <v>51.25</v>
      </c>
      <c r="C131" s="64">
        <v>115.54</v>
      </c>
      <c r="D131" s="64">
        <v>165.59</v>
      </c>
      <c r="E131" s="64">
        <v>215.65</v>
      </c>
      <c r="F131" s="64">
        <v>130</v>
      </c>
    </row>
    <row r="132" ht="16" customHeight="1" spans="1:6" x14ac:dyDescent="0.25">
      <c r="A132" s="29" t="s">
        <v>239</v>
      </c>
      <c r="B132" s="59">
        <v>51.54</v>
      </c>
      <c r="C132" s="59">
        <v>115.88</v>
      </c>
      <c r="D132" s="59">
        <v>166.11</v>
      </c>
      <c r="E132" s="59">
        <v>216.33</v>
      </c>
      <c r="F132" s="59">
        <v>130</v>
      </c>
    </row>
    <row r="133" ht="16" customHeight="1" spans="1:6" x14ac:dyDescent="0.25">
      <c r="A133" s="12" t="s">
        <v>240</v>
      </c>
      <c r="B133" s="64">
        <v>51.73</v>
      </c>
      <c r="C133" s="64">
        <v>116.11</v>
      </c>
      <c r="D133" s="64">
        <v>166.45</v>
      </c>
      <c r="E133" s="64">
        <v>216.78</v>
      </c>
      <c r="F133" s="64">
        <v>130</v>
      </c>
    </row>
    <row r="134" ht="16" customHeight="1" spans="1:6" x14ac:dyDescent="0.25">
      <c r="A134" s="29" t="s">
        <v>241</v>
      </c>
      <c r="B134" s="59">
        <v>51.82</v>
      </c>
      <c r="C134" s="59">
        <v>116.23</v>
      </c>
      <c r="D134" s="59">
        <v>166.62</v>
      </c>
      <c r="E134" s="59">
        <v>217.01</v>
      </c>
      <c r="F134" s="59">
        <v>130</v>
      </c>
    </row>
    <row r="135" ht="16" customHeight="1" spans="1:6" x14ac:dyDescent="0.25">
      <c r="A135" s="12" t="s">
        <v>242</v>
      </c>
      <c r="B135" s="64">
        <v>51.92</v>
      </c>
      <c r="C135" s="64">
        <v>116.34</v>
      </c>
      <c r="D135" s="64">
        <v>166.79</v>
      </c>
      <c r="E135" s="64">
        <v>217.23</v>
      </c>
      <c r="F135" s="64">
        <v>130</v>
      </c>
    </row>
    <row r="136" ht="16" customHeight="1" spans="1:6" x14ac:dyDescent="0.25">
      <c r="A136" s="29" t="s">
        <v>243</v>
      </c>
      <c r="B136" s="59">
        <v>52.06</v>
      </c>
      <c r="C136" s="59">
        <v>116.52</v>
      </c>
      <c r="D136" s="59">
        <v>167.04</v>
      </c>
      <c r="E136" s="59">
        <v>217.57</v>
      </c>
      <c r="F136" s="59">
        <v>130</v>
      </c>
    </row>
    <row r="137" ht="16" customHeight="1" spans="1:6" x14ac:dyDescent="0.25">
      <c r="A137" s="12" t="s">
        <v>244</v>
      </c>
      <c r="B137" s="64">
        <v>52.11</v>
      </c>
      <c r="C137" s="64">
        <v>116.57</v>
      </c>
      <c r="D137" s="64">
        <v>167.13</v>
      </c>
      <c r="E137" s="64">
        <v>217.69</v>
      </c>
      <c r="F137" s="64">
        <v>130</v>
      </c>
    </row>
    <row r="138" ht="16" customHeight="1" spans="1:6" x14ac:dyDescent="0.25">
      <c r="A138" s="29" t="s">
        <v>245</v>
      </c>
      <c r="B138" s="59">
        <v>52.2</v>
      </c>
      <c r="C138" s="59">
        <v>116.69</v>
      </c>
      <c r="D138" s="59">
        <v>167.3</v>
      </c>
      <c r="E138" s="59">
        <v>217.91</v>
      </c>
      <c r="F138" s="59">
        <v>130</v>
      </c>
    </row>
    <row r="139" ht="16" customHeight="1" spans="1:6" x14ac:dyDescent="0.25">
      <c r="A139" s="12" t="s">
        <v>246</v>
      </c>
      <c r="B139" s="64">
        <v>52.35</v>
      </c>
      <c r="C139" s="64">
        <v>116.86</v>
      </c>
      <c r="D139" s="64">
        <v>167.56</v>
      </c>
      <c r="E139" s="64">
        <v>218.25</v>
      </c>
      <c r="F139" s="64">
        <v>130</v>
      </c>
    </row>
    <row r="140" ht="16" customHeight="1" spans="1:6" x14ac:dyDescent="0.25">
      <c r="A140" s="29" t="s">
        <v>247</v>
      </c>
      <c r="B140" s="59">
        <v>52.68</v>
      </c>
      <c r="C140" s="59">
        <v>117.27</v>
      </c>
      <c r="D140" s="59">
        <v>168.15</v>
      </c>
      <c r="E140" s="59">
        <v>219.04</v>
      </c>
      <c r="F140" s="59">
        <v>130</v>
      </c>
    </row>
    <row r="141" ht="16" customHeight="1" spans="1:6" x14ac:dyDescent="0.25">
      <c r="A141" s="12" t="s">
        <v>248</v>
      </c>
      <c r="B141" s="64">
        <v>51.02</v>
      </c>
      <c r="C141" s="64">
        <v>115.25</v>
      </c>
      <c r="D141" s="64">
        <v>165.17</v>
      </c>
      <c r="E141" s="64">
        <v>215.09</v>
      </c>
      <c r="F141" s="64">
        <v>130</v>
      </c>
    </row>
    <row r="142" ht="16" customHeight="1" spans="1:6" x14ac:dyDescent="0.25">
      <c r="A142" s="29" t="s">
        <v>249</v>
      </c>
      <c r="B142" s="59">
        <v>51.97</v>
      </c>
      <c r="C142" s="59">
        <v>116.4</v>
      </c>
      <c r="D142" s="59">
        <v>166.87</v>
      </c>
      <c r="E142" s="59">
        <v>217.35</v>
      </c>
      <c r="F142" s="59">
        <v>130</v>
      </c>
    </row>
    <row r="143" ht="16" customHeight="1" spans="1:6" x14ac:dyDescent="0.25">
      <c r="A143" s="12" t="s">
        <v>250</v>
      </c>
      <c r="B143" s="19"/>
      <c r="C143" s="64">
        <v>68.05</v>
      </c>
      <c r="D143" s="64">
        <v>92.35</v>
      </c>
      <c r="E143" s="64">
        <v>116.63</v>
      </c>
      <c r="F143" s="64">
        <v>130</v>
      </c>
    </row>
    <row r="144" ht="16" customHeight="1" spans="1:6" x14ac:dyDescent="0.25">
      <c r="A144" s="29" t="s">
        <v>251</v>
      </c>
      <c r="B144" s="59">
        <v>25.81</v>
      </c>
      <c r="C144" s="59">
        <v>71.19</v>
      </c>
      <c r="D144" s="59">
        <v>96.98</v>
      </c>
      <c r="E144" s="59">
        <v>122.78</v>
      </c>
      <c r="F144" s="59">
        <v>130</v>
      </c>
    </row>
    <row r="145" ht="16" customHeight="1" spans="1:6" x14ac:dyDescent="0.25">
      <c r="A145" s="12" t="s">
        <v>252</v>
      </c>
      <c r="B145" s="64">
        <v>28.39</v>
      </c>
      <c r="C145" s="64">
        <v>74.31</v>
      </c>
      <c r="D145" s="64">
        <v>101.62</v>
      </c>
      <c r="E145" s="64">
        <v>128.92</v>
      </c>
      <c r="F145" s="64">
        <v>130</v>
      </c>
    </row>
    <row r="146" ht="16" customHeight="1" spans="1:6" x14ac:dyDescent="0.25">
      <c r="A146" s="29" t="s">
        <v>253</v>
      </c>
      <c r="B146" s="59">
        <v>30.97</v>
      </c>
      <c r="C146" s="59">
        <v>77.44</v>
      </c>
      <c r="D146" s="59">
        <v>106.25</v>
      </c>
      <c r="E146" s="59">
        <v>135.06</v>
      </c>
      <c r="F146" s="59">
        <v>130</v>
      </c>
    </row>
    <row r="147" ht="16" customHeight="1" spans="1:6" x14ac:dyDescent="0.25">
      <c r="A147" s="12" t="s">
        <v>254</v>
      </c>
      <c r="B147" s="64">
        <v>33.55</v>
      </c>
      <c r="C147" s="64">
        <v>80.57</v>
      </c>
      <c r="D147" s="64">
        <v>110.88</v>
      </c>
      <c r="E147" s="64">
        <v>141.2</v>
      </c>
      <c r="F147" s="64">
        <v>130</v>
      </c>
    </row>
    <row r="148" ht="16" customHeight="1" spans="1:6" x14ac:dyDescent="0.25">
      <c r="A148" s="29" t="s">
        <v>255</v>
      </c>
      <c r="B148" s="59">
        <v>36.13</v>
      </c>
      <c r="C148" s="59">
        <v>83.7</v>
      </c>
      <c r="D148" s="59">
        <v>115.52</v>
      </c>
      <c r="E148" s="59">
        <v>147.34</v>
      </c>
      <c r="F148" s="59">
        <v>130</v>
      </c>
    </row>
    <row r="149" ht="16" customHeight="1" spans="1:6" x14ac:dyDescent="0.25">
      <c r="A149" s="12" t="s">
        <v>256</v>
      </c>
      <c r="B149" s="64">
        <v>38.71</v>
      </c>
      <c r="C149" s="64">
        <v>86.82</v>
      </c>
      <c r="D149" s="64">
        <v>120.15</v>
      </c>
      <c r="E149" s="64">
        <v>153.48</v>
      </c>
      <c r="F149" s="64">
        <v>130</v>
      </c>
    </row>
    <row r="150" ht="16" customHeight="1" spans="1:6" x14ac:dyDescent="0.25">
      <c r="A150" s="29" t="s">
        <v>257</v>
      </c>
      <c r="B150" s="59">
        <v>41.29</v>
      </c>
      <c r="C150" s="59">
        <v>89.95</v>
      </c>
      <c r="D150" s="59">
        <v>124.79</v>
      </c>
      <c r="E150" s="59">
        <v>159.63</v>
      </c>
      <c r="F150" s="59">
        <v>130</v>
      </c>
    </row>
    <row r="151" ht="16" customHeight="1" spans="1:6" x14ac:dyDescent="0.25">
      <c r="A151" s="12" t="s">
        <v>258</v>
      </c>
      <c r="B151" s="64">
        <v>43.87</v>
      </c>
      <c r="C151" s="64">
        <v>93.08</v>
      </c>
      <c r="D151" s="64">
        <v>129.42</v>
      </c>
      <c r="E151" s="64">
        <v>165.77</v>
      </c>
      <c r="F151" s="64">
        <v>130</v>
      </c>
    </row>
    <row r="152" ht="16" customHeight="1" spans="1:6" x14ac:dyDescent="0.25">
      <c r="A152" s="29" t="s">
        <v>259</v>
      </c>
      <c r="B152" s="59">
        <v>46.45</v>
      </c>
      <c r="C152" s="59">
        <v>96.21</v>
      </c>
      <c r="D152" s="59">
        <v>134.06</v>
      </c>
      <c r="E152" s="59">
        <v>171.91</v>
      </c>
      <c r="F152" s="59">
        <v>130</v>
      </c>
    </row>
    <row r="153" ht="16" customHeight="1" spans="1:6" x14ac:dyDescent="0.25">
      <c r="A153" s="12" t="s">
        <v>260</v>
      </c>
      <c r="B153" s="64">
        <v>46.58</v>
      </c>
      <c r="C153" s="64">
        <v>96.36</v>
      </c>
      <c r="D153" s="64">
        <v>134.29</v>
      </c>
      <c r="E153" s="64">
        <v>172.22</v>
      </c>
      <c r="F153" s="64">
        <v>130</v>
      </c>
    </row>
    <row r="154" ht="16" customHeight="1" spans="1:6" x14ac:dyDescent="0.25">
      <c r="A154" s="29" t="s">
        <v>261</v>
      </c>
      <c r="B154" s="59">
        <v>49.03</v>
      </c>
      <c r="C154" s="59">
        <v>99.33</v>
      </c>
      <c r="D154" s="59">
        <v>138.69</v>
      </c>
      <c r="E154" s="59">
        <v>178.05</v>
      </c>
      <c r="F154" s="59">
        <v>130</v>
      </c>
    </row>
    <row r="155" ht="16" customHeight="1" spans="1:6" x14ac:dyDescent="0.25">
      <c r="A155" s="12" t="s">
        <v>262</v>
      </c>
      <c r="B155" s="64">
        <v>53.93</v>
      </c>
      <c r="C155" s="64">
        <v>105.28</v>
      </c>
      <c r="D155" s="64">
        <v>147.5</v>
      </c>
      <c r="E155" s="64">
        <v>189.72</v>
      </c>
      <c r="F155" s="64">
        <v>130</v>
      </c>
    </row>
    <row r="156" ht="16" customHeight="1" spans="1:6" x14ac:dyDescent="0.25">
      <c r="A156" s="29" t="s">
        <v>263</v>
      </c>
      <c r="B156" s="59">
        <v>45.8</v>
      </c>
      <c r="C156" s="59">
        <v>97.6</v>
      </c>
      <c r="D156" s="59">
        <v>115.65</v>
      </c>
      <c r="E156" s="59">
        <v>142.39</v>
      </c>
      <c r="F156" s="59">
        <v>130</v>
      </c>
    </row>
    <row r="157" ht="16" customHeight="1" spans="1:6" x14ac:dyDescent="0.25">
      <c r="A157" s="12" t="s">
        <v>264</v>
      </c>
      <c r="B157" s="64">
        <v>46.35</v>
      </c>
      <c r="C157" s="64">
        <v>98.27</v>
      </c>
      <c r="D157" s="64">
        <v>116.64</v>
      </c>
      <c r="E157" s="64">
        <v>143.7</v>
      </c>
      <c r="F157" s="64">
        <v>130</v>
      </c>
    </row>
    <row r="158" ht="16" customHeight="1" spans="1:6" x14ac:dyDescent="0.25">
      <c r="A158" s="29" t="s">
        <v>265</v>
      </c>
      <c r="B158" s="59">
        <v>46.65</v>
      </c>
      <c r="C158" s="59">
        <v>98.64</v>
      </c>
      <c r="D158" s="59">
        <v>117.18</v>
      </c>
      <c r="E158" s="59">
        <v>144.43</v>
      </c>
      <c r="F158" s="59">
        <v>130</v>
      </c>
    </row>
    <row r="159" ht="16" customHeight="1" spans="1:6" x14ac:dyDescent="0.25">
      <c r="A159" s="12" t="s">
        <v>266</v>
      </c>
      <c r="B159" s="64">
        <v>46.99</v>
      </c>
      <c r="C159" s="64">
        <v>99.04</v>
      </c>
      <c r="D159" s="64">
        <v>117.78</v>
      </c>
      <c r="E159" s="64">
        <v>145.22</v>
      </c>
      <c r="F159" s="64">
        <v>130</v>
      </c>
    </row>
    <row r="160" ht="16" customHeight="1" spans="1:6" x14ac:dyDescent="0.25">
      <c r="A160" s="29" t="s">
        <v>267</v>
      </c>
      <c r="B160" s="59">
        <v>48.04</v>
      </c>
      <c r="C160" s="59">
        <v>100.32</v>
      </c>
      <c r="D160" s="59">
        <v>119.67</v>
      </c>
      <c r="E160" s="59">
        <v>147.73</v>
      </c>
      <c r="F160" s="59">
        <v>130</v>
      </c>
    </row>
    <row r="161" ht="16" customHeight="1" spans="1:6" x14ac:dyDescent="0.25">
      <c r="A161" s="12" t="s">
        <v>268</v>
      </c>
      <c r="B161" s="64">
        <v>49.94</v>
      </c>
      <c r="C161" s="64">
        <v>102.62</v>
      </c>
      <c r="D161" s="64">
        <v>123.08</v>
      </c>
      <c r="E161" s="64">
        <v>152.25</v>
      </c>
      <c r="F161" s="64">
        <v>130</v>
      </c>
    </row>
    <row r="162" ht="16" customHeight="1" spans="1:6" x14ac:dyDescent="0.25">
      <c r="A162" s="78"/>
      <c r="B162" s="15"/>
      <c r="C162" s="15"/>
      <c r="D162" s="15"/>
      <c r="E162" s="15"/>
      <c r="F162" s="15"/>
    </row>
    <row r="163" ht="16" customHeight="1" spans="1:6" x14ac:dyDescent="0.25">
      <c r="A163" s="79" t="s">
        <v>269</v>
      </c>
      <c r="B163" s="79"/>
      <c r="C163" s="79"/>
      <c r="D163" s="79"/>
      <c r="E163" s="79"/>
      <c r="F163" s="79"/>
    </row>
    <row r="164" ht="16" customHeight="1" spans="1:6" x14ac:dyDescent="0.25">
      <c r="A164" s="24" t="s">
        <v>89</v>
      </c>
      <c r="B164" s="24" t="s">
        <v>270</v>
      </c>
      <c r="C164" s="24" t="s">
        <v>271</v>
      </c>
      <c r="D164" s="24" t="s">
        <v>272</v>
      </c>
      <c r="E164" s="24" t="s">
        <v>273</v>
      </c>
      <c r="F164" s="24" t="s">
        <v>274</v>
      </c>
    </row>
    <row r="165" ht="16" customHeight="1" spans="1:6" x14ac:dyDescent="0.25">
      <c r="A165" s="12" t="s">
        <v>96</v>
      </c>
      <c r="B165" s="6" t="s">
        <v>275</v>
      </c>
      <c r="C165" s="64">
        <v>496</v>
      </c>
      <c r="D165" s="64">
        <v>1488</v>
      </c>
      <c r="E165" s="64">
        <v>4464</v>
      </c>
      <c r="F165" s="80"/>
    </row>
    <row r="166" ht="16" customHeight="1" spans="1:6" x14ac:dyDescent="0.25">
      <c r="A166" s="29" t="s">
        <v>98</v>
      </c>
      <c r="B166" s="9" t="s">
        <v>275</v>
      </c>
      <c r="C166" s="59">
        <v>68</v>
      </c>
      <c r="D166" s="59">
        <v>204</v>
      </c>
      <c r="E166" s="59">
        <v>612</v>
      </c>
      <c r="F166" s="20"/>
    </row>
    <row r="167" ht="16" customHeight="1" spans="1:6" x14ac:dyDescent="0.25">
      <c r="A167" s="12" t="s">
        <v>99</v>
      </c>
      <c r="B167" s="6" t="s">
        <v>275</v>
      </c>
      <c r="C167" s="64">
        <v>104</v>
      </c>
      <c r="D167" s="64">
        <v>312</v>
      </c>
      <c r="E167" s="64">
        <v>936</v>
      </c>
      <c r="F167" s="80"/>
    </row>
    <row r="168" ht="16" customHeight="1" spans="1:6" x14ac:dyDescent="0.25">
      <c r="A168" s="29" t="s">
        <v>100</v>
      </c>
      <c r="B168" s="9" t="s">
        <v>276</v>
      </c>
      <c r="C168" s="59">
        <v>1160</v>
      </c>
      <c r="D168" s="59">
        <v>3480</v>
      </c>
      <c r="E168" s="59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6" x14ac:dyDescent="0.25">
      <c r="A1" s="1" t="s">
        <v>212</v>
      </c>
      <c r="B1" s="1"/>
      <c r="C1" s="1"/>
      <c r="D1" s="1"/>
      <c r="E1" s="1"/>
      <c r="F1" s="1" t="s">
        <v>277</v>
      </c>
    </row>
    <row r="2" ht="16" customHeight="1" spans="1:6" x14ac:dyDescent="0.25">
      <c r="A2" s="2" t="s">
        <v>213</v>
      </c>
      <c r="B2" s="2"/>
      <c r="C2" s="2"/>
      <c r="D2" s="2"/>
      <c r="E2" s="2"/>
      <c r="F2" s="2" t="s">
        <v>28</v>
      </c>
    </row>
    <row r="3" ht="16" customHeight="1" spans="1:6" x14ac:dyDescent="0.25">
      <c r="A3" s="3" t="s">
        <v>214</v>
      </c>
      <c r="B3" s="3"/>
      <c r="C3" s="3"/>
      <c r="D3" s="3"/>
      <c r="E3" s="3"/>
      <c r="F3" s="3" t="s">
        <v>278</v>
      </c>
    </row>
    <row r="4" ht="6" customHeight="1" spans="1:6" x14ac:dyDescent="0.25">
      <c r="A4" s="81" t="s">
        <v>124</v>
      </c>
      <c r="B4" s="81" t="s">
        <v>215</v>
      </c>
      <c r="C4" s="81" t="s">
        <v>222</v>
      </c>
      <c r="D4" s="23"/>
      <c r="E4" s="81" t="s">
        <v>215</v>
      </c>
      <c r="F4" s="81" t="s">
        <v>279</v>
      </c>
    </row>
    <row r="5" ht="6" customHeight="1" spans="1:6" x14ac:dyDescent="0.25">
      <c r="A5" s="81" t="s">
        <v>125</v>
      </c>
      <c r="B5" s="81" t="s">
        <v>216</v>
      </c>
      <c r="C5" s="81" t="s">
        <v>223</v>
      </c>
      <c r="D5" s="23"/>
      <c r="E5" s="81" t="s">
        <v>216</v>
      </c>
      <c r="F5" s="23"/>
    </row>
    <row r="6" ht="20" customHeight="1" spans="1:6" x14ac:dyDescent="0.25">
      <c r="A6" s="24" t="s">
        <v>126</v>
      </c>
      <c r="B6" s="24" t="s">
        <v>217</v>
      </c>
      <c r="C6" s="24" t="s">
        <v>224</v>
      </c>
      <c r="D6" s="82"/>
      <c r="E6" s="24" t="s">
        <v>217</v>
      </c>
      <c r="F6" s="82"/>
    </row>
    <row r="7" ht="16" customHeight="1" spans="1:6" x14ac:dyDescent="0.25">
      <c r="A7" s="12" t="s">
        <v>127</v>
      </c>
      <c r="B7" s="6" t="s">
        <v>218</v>
      </c>
      <c r="C7" s="6" t="s">
        <v>225</v>
      </c>
      <c r="D7" s="80"/>
      <c r="E7" s="6" t="s">
        <v>218</v>
      </c>
      <c r="F7" s="80"/>
    </row>
    <row r="8" ht="16" customHeight="1" spans="1:6" x14ac:dyDescent="0.25">
      <c r="A8" s="29" t="s">
        <v>128</v>
      </c>
      <c r="B8" s="20"/>
      <c r="C8" s="9" t="s">
        <v>226</v>
      </c>
      <c r="D8" s="20"/>
      <c r="E8" s="9" t="s">
        <v>219</v>
      </c>
      <c r="F8" s="20"/>
    </row>
    <row r="9" ht="16" customHeight="1" spans="1:6" x14ac:dyDescent="0.25">
      <c r="A9" s="12" t="s">
        <v>129</v>
      </c>
      <c r="B9" s="80"/>
      <c r="C9" s="6" t="s">
        <v>87</v>
      </c>
      <c r="D9" s="80"/>
      <c r="E9" s="6" t="s">
        <v>220</v>
      </c>
      <c r="F9" s="80"/>
    </row>
    <row r="10" ht="16" customHeight="1" spans="1:6" x14ac:dyDescent="0.25">
      <c r="A10" s="29" t="s">
        <v>130</v>
      </c>
      <c r="B10" s="20"/>
      <c r="C10" s="9" t="s">
        <v>227</v>
      </c>
      <c r="D10" s="20"/>
      <c r="E10" s="9" t="s">
        <v>221</v>
      </c>
      <c r="F10" s="20"/>
    </row>
    <row r="11" ht="16" customHeight="1" spans="1:6" x14ac:dyDescent="0.25">
      <c r="A11" s="12" t="s">
        <v>131</v>
      </c>
      <c r="B11" s="80"/>
      <c r="C11" s="6" t="s">
        <v>228</v>
      </c>
      <c r="D11" s="80"/>
      <c r="E11" s="6" t="s">
        <v>222</v>
      </c>
      <c r="F11" s="80"/>
    </row>
    <row r="12" ht="16" customHeight="1" spans="1:6" x14ac:dyDescent="0.25">
      <c r="A12" s="29" t="s">
        <v>132</v>
      </c>
      <c r="B12" s="20"/>
      <c r="C12" s="9" t="s">
        <v>229</v>
      </c>
      <c r="D12" s="20"/>
      <c r="E12" s="9" t="s">
        <v>223</v>
      </c>
      <c r="F12" s="20"/>
    </row>
    <row r="13" ht="16" customHeight="1" spans="1:6" x14ac:dyDescent="0.25">
      <c r="A13" s="12" t="s">
        <v>133</v>
      </c>
      <c r="B13" s="80"/>
      <c r="C13" s="6" t="s">
        <v>230</v>
      </c>
      <c r="D13" s="80"/>
      <c r="E13" s="6" t="s">
        <v>224</v>
      </c>
      <c r="F13" s="80"/>
    </row>
    <row r="14" ht="16" customHeight="1" spans="1:6" x14ac:dyDescent="0.25">
      <c r="A14" s="29" t="s">
        <v>134</v>
      </c>
      <c r="B14" s="20"/>
      <c r="C14" s="9" t="s">
        <v>231</v>
      </c>
      <c r="D14" s="20"/>
      <c r="E14" s="9" t="s">
        <v>225</v>
      </c>
      <c r="F14" s="20"/>
    </row>
    <row r="15" ht="16" customHeight="1" spans="1:6" x14ac:dyDescent="0.25">
      <c r="A15" s="12" t="s">
        <v>135</v>
      </c>
      <c r="B15" s="80"/>
      <c r="C15" s="6" t="s">
        <v>232</v>
      </c>
      <c r="D15" s="80"/>
      <c r="E15" s="6" t="s">
        <v>226</v>
      </c>
      <c r="F15" s="80"/>
    </row>
    <row r="16" ht="16" customHeight="1" spans="1:6" x14ac:dyDescent="0.25">
      <c r="A16" s="29" t="s">
        <v>136</v>
      </c>
      <c r="B16" s="20"/>
      <c r="C16" s="9" t="s">
        <v>233</v>
      </c>
      <c r="D16" s="20"/>
      <c r="E16" s="9" t="s">
        <v>87</v>
      </c>
      <c r="F16" s="20"/>
    </row>
    <row r="17" ht="16" customHeight="1" spans="1:6" x14ac:dyDescent="0.25">
      <c r="A17" s="12" t="s">
        <v>137</v>
      </c>
      <c r="B17" s="80"/>
      <c r="C17" s="6" t="s">
        <v>234</v>
      </c>
      <c r="D17" s="80"/>
      <c r="E17" s="6" t="s">
        <v>227</v>
      </c>
      <c r="F17" s="80"/>
    </row>
    <row r="18" ht="16" customHeight="1" spans="1:6" x14ac:dyDescent="0.25">
      <c r="A18" s="29" t="s">
        <v>138</v>
      </c>
      <c r="B18" s="20"/>
      <c r="C18" s="9" t="s">
        <v>235</v>
      </c>
      <c r="D18" s="20"/>
      <c r="E18" s="9" t="s">
        <v>228</v>
      </c>
      <c r="F18" s="20"/>
    </row>
    <row r="19" ht="16" customHeight="1" spans="1:6" x14ac:dyDescent="0.25">
      <c r="A19" s="12" t="s">
        <v>68</v>
      </c>
      <c r="B19" s="80"/>
      <c r="C19" s="6" t="s">
        <v>236</v>
      </c>
      <c r="D19" s="80"/>
      <c r="E19" s="6" t="s">
        <v>229</v>
      </c>
      <c r="F19" s="80"/>
    </row>
    <row r="20" ht="16" customHeight="1" spans="1:6" x14ac:dyDescent="0.25">
      <c r="A20" s="29" t="s">
        <v>139</v>
      </c>
      <c r="B20" s="20"/>
      <c r="C20" s="9" t="s">
        <v>237</v>
      </c>
      <c r="D20" s="20"/>
      <c r="E20" s="9" t="s">
        <v>230</v>
      </c>
      <c r="F20" s="20"/>
    </row>
    <row r="21" ht="16" customHeight="1" spans="1:6" x14ac:dyDescent="0.25">
      <c r="A21" s="12" t="s">
        <v>140</v>
      </c>
      <c r="B21" s="80"/>
      <c r="C21" s="6" t="s">
        <v>238</v>
      </c>
      <c r="D21" s="80"/>
      <c r="E21" s="6" t="s">
        <v>231</v>
      </c>
      <c r="F21" s="80"/>
    </row>
    <row r="22" ht="16" customHeight="1" spans="1:6" x14ac:dyDescent="0.25">
      <c r="A22" s="29" t="s">
        <v>141</v>
      </c>
      <c r="B22" s="20"/>
      <c r="C22" s="9" t="s">
        <v>239</v>
      </c>
      <c r="D22" s="20"/>
      <c r="E22" s="9" t="s">
        <v>232</v>
      </c>
      <c r="F22" s="20"/>
    </row>
    <row r="23" ht="16" customHeight="1" spans="1:6" x14ac:dyDescent="0.25">
      <c r="A23" s="12" t="s">
        <v>142</v>
      </c>
      <c r="B23" s="80"/>
      <c r="C23" s="6" t="s">
        <v>240</v>
      </c>
      <c r="D23" s="80"/>
      <c r="E23" s="6" t="s">
        <v>233</v>
      </c>
      <c r="F23" s="80"/>
    </row>
    <row r="24" ht="16" customHeight="1" spans="1:6" x14ac:dyDescent="0.25">
      <c r="A24" s="29" t="s">
        <v>143</v>
      </c>
      <c r="B24" s="20"/>
      <c r="C24" s="9" t="s">
        <v>241</v>
      </c>
      <c r="D24" s="20"/>
      <c r="E24" s="9" t="s">
        <v>234</v>
      </c>
      <c r="F24" s="20"/>
    </row>
    <row r="25" ht="16" customHeight="1" spans="1:6" x14ac:dyDescent="0.25">
      <c r="A25" s="12" t="s">
        <v>144</v>
      </c>
      <c r="B25" s="80"/>
      <c r="C25" s="6" t="s">
        <v>242</v>
      </c>
      <c r="D25" s="80"/>
      <c r="E25" s="6" t="s">
        <v>235</v>
      </c>
      <c r="F25" s="80"/>
    </row>
    <row r="26" ht="16" customHeight="1" spans="1:6" x14ac:dyDescent="0.25">
      <c r="A26" s="29" t="s">
        <v>145</v>
      </c>
      <c r="B26" s="20"/>
      <c r="C26" s="9" t="s">
        <v>243</v>
      </c>
      <c r="D26" s="20"/>
      <c r="E26" s="9" t="s">
        <v>236</v>
      </c>
      <c r="F26" s="20"/>
    </row>
    <row r="27" ht="16" customHeight="1" spans="1:6" x14ac:dyDescent="0.25">
      <c r="A27" s="12" t="s">
        <v>146</v>
      </c>
      <c r="B27" s="80"/>
      <c r="C27" s="6" t="s">
        <v>244</v>
      </c>
      <c r="D27" s="80"/>
      <c r="E27" s="6" t="s">
        <v>237</v>
      </c>
      <c r="F27" s="80"/>
    </row>
    <row r="28" ht="16" customHeight="1" spans="1:6" x14ac:dyDescent="0.25">
      <c r="A28" s="29" t="s">
        <v>147</v>
      </c>
      <c r="B28" s="20"/>
      <c r="C28" s="9" t="s">
        <v>245</v>
      </c>
      <c r="D28" s="20"/>
      <c r="E28" s="9" t="s">
        <v>238</v>
      </c>
      <c r="F28" s="20"/>
    </row>
    <row r="29" ht="16" customHeight="1" spans="1:6" x14ac:dyDescent="0.25">
      <c r="A29" s="12" t="s">
        <v>148</v>
      </c>
      <c r="B29" s="80"/>
      <c r="C29" s="6" t="s">
        <v>246</v>
      </c>
      <c r="D29" s="80"/>
      <c r="E29" s="6" t="s">
        <v>239</v>
      </c>
      <c r="F29" s="80"/>
    </row>
    <row r="30" ht="16" customHeight="1" spans="1:6" x14ac:dyDescent="0.25">
      <c r="A30" s="29" t="s">
        <v>149</v>
      </c>
      <c r="B30" s="20"/>
      <c r="C30" s="9" t="s">
        <v>247</v>
      </c>
      <c r="D30" s="20"/>
      <c r="E30" s="9" t="s">
        <v>240</v>
      </c>
      <c r="F30" s="20"/>
    </row>
    <row r="31" ht="16" customHeight="1" spans="1:6" x14ac:dyDescent="0.25">
      <c r="A31" s="12" t="s">
        <v>150</v>
      </c>
      <c r="B31" s="80"/>
      <c r="C31" s="6" t="s">
        <v>248</v>
      </c>
      <c r="D31" s="80"/>
      <c r="E31" s="6" t="s">
        <v>241</v>
      </c>
      <c r="F31" s="80"/>
    </row>
    <row r="32" ht="16" customHeight="1" spans="1:6" x14ac:dyDescent="0.25">
      <c r="A32" s="29" t="s">
        <v>151</v>
      </c>
      <c r="B32" s="20"/>
      <c r="C32" s="9" t="s">
        <v>249</v>
      </c>
      <c r="D32" s="20"/>
      <c r="E32" s="9" t="s">
        <v>242</v>
      </c>
      <c r="F32" s="20"/>
    </row>
    <row r="33" ht="16" customHeight="1" spans="1:6" x14ac:dyDescent="0.25">
      <c r="A33" s="12" t="s">
        <v>152</v>
      </c>
      <c r="B33" s="80"/>
      <c r="C33" s="6" t="s">
        <v>250</v>
      </c>
      <c r="D33" s="80"/>
      <c r="E33" s="6" t="s">
        <v>243</v>
      </c>
      <c r="F33" s="80"/>
    </row>
    <row r="34" ht="16" customHeight="1" spans="1:6" x14ac:dyDescent="0.25">
      <c r="A34" s="29" t="s">
        <v>153</v>
      </c>
      <c r="B34" s="20"/>
      <c r="C34" s="9" t="s">
        <v>251</v>
      </c>
      <c r="D34" s="20"/>
      <c r="E34" s="9" t="s">
        <v>244</v>
      </c>
      <c r="F34" s="20"/>
    </row>
    <row r="35" ht="16" customHeight="1" spans="1:6" x14ac:dyDescent="0.25">
      <c r="A35" s="12" t="s">
        <v>154</v>
      </c>
      <c r="B35" s="80"/>
      <c r="C35" s="6" t="s">
        <v>252</v>
      </c>
      <c r="D35" s="80"/>
      <c r="E35" s="6" t="s">
        <v>245</v>
      </c>
      <c r="F35" s="80"/>
    </row>
    <row r="36" ht="16" customHeight="1" spans="1:6" x14ac:dyDescent="0.25">
      <c r="A36" s="29" t="s">
        <v>155</v>
      </c>
      <c r="B36" s="20"/>
      <c r="C36" s="9" t="s">
        <v>253</v>
      </c>
      <c r="D36" s="20"/>
      <c r="E36" s="9" t="s">
        <v>246</v>
      </c>
      <c r="F36" s="20"/>
    </row>
    <row r="37" ht="16" customHeight="1" spans="1:6" x14ac:dyDescent="0.25">
      <c r="A37" s="12" t="s">
        <v>156</v>
      </c>
      <c r="B37" s="80"/>
      <c r="C37" s="6" t="s">
        <v>254</v>
      </c>
      <c r="D37" s="80"/>
      <c r="E37" s="6" t="s">
        <v>247</v>
      </c>
      <c r="F37" s="80"/>
    </row>
    <row r="38" ht="16" customHeight="1" spans="1:6" x14ac:dyDescent="0.25">
      <c r="A38" s="29" t="s">
        <v>157</v>
      </c>
      <c r="B38" s="20"/>
      <c r="C38" s="9" t="s">
        <v>255</v>
      </c>
      <c r="D38" s="20"/>
      <c r="E38" s="9" t="s">
        <v>248</v>
      </c>
      <c r="F38" s="20"/>
    </row>
    <row r="39" ht="16" customHeight="1" spans="1:6" x14ac:dyDescent="0.25">
      <c r="A39" s="12" t="s">
        <v>158</v>
      </c>
      <c r="B39" s="80"/>
      <c r="C39" s="6" t="s">
        <v>256</v>
      </c>
      <c r="D39" s="80"/>
      <c r="E39" s="6" t="s">
        <v>249</v>
      </c>
      <c r="F39" s="80"/>
    </row>
    <row r="40" ht="16" customHeight="1" spans="1:6" x14ac:dyDescent="0.25">
      <c r="A40" s="29" t="s">
        <v>159</v>
      </c>
      <c r="B40" s="20"/>
      <c r="C40" s="9" t="s">
        <v>257</v>
      </c>
      <c r="D40" s="20"/>
      <c r="E40" s="9" t="s">
        <v>250</v>
      </c>
      <c r="F40" s="20"/>
    </row>
    <row r="41" ht="16" customHeight="1" spans="1:6" x14ac:dyDescent="0.25">
      <c r="A41" s="12" t="s">
        <v>160</v>
      </c>
      <c r="B41" s="80"/>
      <c r="C41" s="6" t="s">
        <v>258</v>
      </c>
      <c r="D41" s="80"/>
      <c r="E41" s="6" t="s">
        <v>251</v>
      </c>
      <c r="F41" s="80"/>
    </row>
    <row r="42" ht="16" customHeight="1" spans="1:6" x14ac:dyDescent="0.25">
      <c r="A42" s="29" t="s">
        <v>161</v>
      </c>
      <c r="B42" s="20"/>
      <c r="C42" s="9" t="s">
        <v>259</v>
      </c>
      <c r="D42" s="20"/>
      <c r="E42" s="9" t="s">
        <v>252</v>
      </c>
      <c r="F42" s="20"/>
    </row>
    <row r="43" ht="16" customHeight="1" spans="1:6" x14ac:dyDescent="0.25">
      <c r="A43" s="12" t="s">
        <v>162</v>
      </c>
      <c r="B43" s="80"/>
      <c r="C43" s="6" t="s">
        <v>260</v>
      </c>
      <c r="D43" s="80"/>
      <c r="E43" s="6" t="s">
        <v>253</v>
      </c>
      <c r="F43" s="80"/>
    </row>
    <row r="44" ht="16" customHeight="1" spans="1:6" x14ac:dyDescent="0.25">
      <c r="A44" s="29" t="s">
        <v>163</v>
      </c>
      <c r="B44" s="20"/>
      <c r="C44" s="9" t="s">
        <v>261</v>
      </c>
      <c r="D44" s="20"/>
      <c r="E44" s="9" t="s">
        <v>254</v>
      </c>
      <c r="F44" s="20"/>
    </row>
    <row r="45" ht="16" customHeight="1" spans="1:6" x14ac:dyDescent="0.25">
      <c r="A45" s="12" t="s">
        <v>164</v>
      </c>
      <c r="B45" s="80"/>
      <c r="C45" s="6" t="s">
        <v>262</v>
      </c>
      <c r="D45" s="80"/>
      <c r="E45" s="6" t="s">
        <v>255</v>
      </c>
      <c r="F45" s="80"/>
    </row>
    <row r="46" ht="16" customHeight="1" spans="1:6" x14ac:dyDescent="0.25">
      <c r="A46" s="29" t="s">
        <v>165</v>
      </c>
      <c r="B46" s="20"/>
      <c r="C46" s="9" t="s">
        <v>263</v>
      </c>
      <c r="D46" s="20"/>
      <c r="E46" s="9" t="s">
        <v>256</v>
      </c>
      <c r="F46" s="20"/>
    </row>
    <row r="47" ht="16" customHeight="1" spans="1:6" x14ac:dyDescent="0.25">
      <c r="A47" s="12" t="s">
        <v>166</v>
      </c>
      <c r="B47" s="80"/>
      <c r="C47" s="6" t="s">
        <v>264</v>
      </c>
      <c r="D47" s="80"/>
      <c r="E47" s="6" t="s">
        <v>257</v>
      </c>
      <c r="F47" s="80"/>
    </row>
    <row r="48" ht="16" customHeight="1" spans="1:6" x14ac:dyDescent="0.25">
      <c r="A48" s="29" t="s">
        <v>167</v>
      </c>
      <c r="B48" s="20"/>
      <c r="C48" s="9" t="s">
        <v>265</v>
      </c>
      <c r="D48" s="20"/>
      <c r="E48" s="9" t="s">
        <v>258</v>
      </c>
      <c r="F48" s="20"/>
    </row>
    <row r="49" ht="16" customHeight="1" spans="1:6" x14ac:dyDescent="0.25">
      <c r="A49" s="12" t="s">
        <v>168</v>
      </c>
      <c r="B49" s="80"/>
      <c r="C49" s="6" t="s">
        <v>266</v>
      </c>
      <c r="D49" s="80"/>
      <c r="E49" s="6" t="s">
        <v>259</v>
      </c>
      <c r="F49" s="80"/>
    </row>
    <row r="50" ht="16" customHeight="1" spans="1:6" x14ac:dyDescent="0.25">
      <c r="A50" s="29" t="s">
        <v>169</v>
      </c>
      <c r="B50" s="20"/>
      <c r="C50" s="9" t="s">
        <v>267</v>
      </c>
      <c r="D50" s="20"/>
      <c r="E50" s="9" t="s">
        <v>260</v>
      </c>
      <c r="F50" s="20"/>
    </row>
    <row r="51" ht="16" customHeight="1" spans="1:6" x14ac:dyDescent="0.25">
      <c r="A51" s="12" t="s">
        <v>170</v>
      </c>
      <c r="B51" s="80"/>
      <c r="C51" s="6" t="s">
        <v>268</v>
      </c>
      <c r="D51" s="80"/>
      <c r="E51" s="6" t="s">
        <v>261</v>
      </c>
      <c r="F51" s="80"/>
    </row>
    <row r="52" ht="16" customHeight="1" spans="1:6" x14ac:dyDescent="0.25">
      <c r="A52" s="29" t="s">
        <v>171</v>
      </c>
      <c r="B52" s="20"/>
      <c r="C52" s="20"/>
      <c r="D52" s="20"/>
      <c r="E52" s="9" t="s">
        <v>262</v>
      </c>
      <c r="F52" s="20"/>
    </row>
    <row r="53" ht="16" customHeight="1" spans="1:6" x14ac:dyDescent="0.25">
      <c r="A53" s="12" t="s">
        <v>172</v>
      </c>
      <c r="B53" s="80"/>
      <c r="C53" s="80"/>
      <c r="D53" s="80"/>
      <c r="E53" s="6" t="s">
        <v>263</v>
      </c>
      <c r="F53" s="80"/>
    </row>
    <row r="54" ht="16" customHeight="1" spans="1:6" x14ac:dyDescent="0.25">
      <c r="A54" s="29" t="s">
        <v>173</v>
      </c>
      <c r="B54" s="20"/>
      <c r="C54" s="20"/>
      <c r="D54" s="20"/>
      <c r="E54" s="9" t="s">
        <v>264</v>
      </c>
      <c r="F54" s="20"/>
    </row>
    <row r="55" ht="16" customHeight="1" spans="1:6" x14ac:dyDescent="0.25">
      <c r="A55" s="12" t="s">
        <v>174</v>
      </c>
      <c r="B55" s="80"/>
      <c r="C55" s="80"/>
      <c r="D55" s="80"/>
      <c r="E55" s="6" t="s">
        <v>265</v>
      </c>
      <c r="F55" s="80"/>
    </row>
    <row r="56" ht="16" customHeight="1" spans="1:6" x14ac:dyDescent="0.25">
      <c r="A56" s="29" t="s">
        <v>175</v>
      </c>
      <c r="B56" s="20"/>
      <c r="C56" s="20"/>
      <c r="D56" s="20"/>
      <c r="E56" s="9" t="s">
        <v>266</v>
      </c>
      <c r="F56" s="20"/>
    </row>
    <row r="57" ht="16" customHeight="1" spans="1:6" x14ac:dyDescent="0.25">
      <c r="A57" s="12" t="s">
        <v>176</v>
      </c>
      <c r="B57" s="80"/>
      <c r="C57" s="80"/>
      <c r="D57" s="80"/>
      <c r="E57" s="6" t="s">
        <v>267</v>
      </c>
      <c r="F57" s="80"/>
    </row>
    <row r="58" ht="16" customHeight="1" spans="1:6" x14ac:dyDescent="0.25">
      <c r="A58" s="29" t="s">
        <v>177</v>
      </c>
      <c r="B58" s="20"/>
      <c r="C58" s="20"/>
      <c r="D58" s="20"/>
      <c r="E58" s="9" t="s">
        <v>268</v>
      </c>
      <c r="F58" s="20"/>
    </row>
    <row r="59" ht="16" customHeight="1" spans="1:6" x14ac:dyDescent="0.25">
      <c r="A59" s="12" t="s">
        <v>178</v>
      </c>
      <c r="B59" s="80"/>
      <c r="C59" s="80"/>
      <c r="D59" s="80"/>
      <c r="E59" s="80"/>
      <c r="F59" s="80"/>
    </row>
    <row r="60" ht="16" customHeight="1" spans="1:6" x14ac:dyDescent="0.25">
      <c r="A60" s="29" t="s">
        <v>179</v>
      </c>
      <c r="B60" s="20"/>
      <c r="C60" s="20"/>
      <c r="D60" s="20"/>
      <c r="E60" s="20"/>
      <c r="F60" s="20"/>
    </row>
    <row r="61" ht="16" customHeight="1" spans="1:6" x14ac:dyDescent="0.25">
      <c r="A61" s="12" t="s">
        <v>180</v>
      </c>
      <c r="B61" s="80"/>
      <c r="C61" s="80"/>
      <c r="D61" s="80"/>
      <c r="E61" s="80"/>
      <c r="F61" s="80"/>
    </row>
    <row r="62" ht="16" customHeight="1" spans="1:6" x14ac:dyDescent="0.25">
      <c r="A62" s="29" t="s">
        <v>181</v>
      </c>
      <c r="B62" s="20"/>
      <c r="C62" s="20"/>
      <c r="D62" s="20"/>
      <c r="E62" s="20"/>
      <c r="F62" s="20"/>
    </row>
    <row r="63" ht="16" customHeight="1" spans="1:6" x14ac:dyDescent="0.25">
      <c r="A63" s="12" t="s">
        <v>182</v>
      </c>
      <c r="B63" s="80"/>
      <c r="C63" s="80"/>
      <c r="D63" s="80"/>
      <c r="E63" s="80"/>
      <c r="F63" s="80"/>
    </row>
    <row r="64" ht="16" customHeight="1" spans="1:6" x14ac:dyDescent="0.25">
      <c r="A64" s="29" t="s">
        <v>183</v>
      </c>
      <c r="B64" s="20"/>
      <c r="C64" s="20"/>
      <c r="D64" s="20"/>
      <c r="E64" s="20"/>
      <c r="F64" s="20"/>
    </row>
    <row r="65" ht="16" customHeight="1" spans="1:6" x14ac:dyDescent="0.25">
      <c r="A65" s="12" t="s">
        <v>184</v>
      </c>
      <c r="B65" s="80"/>
      <c r="C65" s="80"/>
      <c r="D65" s="80"/>
      <c r="E65" s="80"/>
      <c r="F65" s="80"/>
    </row>
    <row r="66" ht="16" customHeight="1" spans="1:6" x14ac:dyDescent="0.25">
      <c r="A66" s="29" t="s">
        <v>185</v>
      </c>
      <c r="B66" s="20"/>
      <c r="C66" s="20"/>
      <c r="D66" s="20"/>
      <c r="E66" s="20"/>
      <c r="F66" s="20"/>
    </row>
    <row r="67" ht="16" customHeight="1" spans="1:6" x14ac:dyDescent="0.25">
      <c r="A67" s="12" t="s">
        <v>186</v>
      </c>
      <c r="B67" s="80"/>
      <c r="C67" s="80"/>
      <c r="D67" s="80"/>
      <c r="E67" s="80"/>
      <c r="F67" s="80"/>
    </row>
    <row r="68" ht="16" customHeight="1" spans="1:6" x14ac:dyDescent="0.25">
      <c r="A68" s="29" t="s">
        <v>187</v>
      </c>
      <c r="B68" s="20"/>
      <c r="C68" s="20"/>
      <c r="D68" s="20"/>
      <c r="E68" s="20"/>
      <c r="F68" s="20"/>
    </row>
    <row r="69" ht="16" customHeight="1" spans="1:6" x14ac:dyDescent="0.25">
      <c r="A69" s="12" t="s">
        <v>188</v>
      </c>
      <c r="B69" s="80"/>
      <c r="C69" s="80"/>
      <c r="D69" s="80"/>
      <c r="E69" s="80"/>
      <c r="F69" s="80"/>
    </row>
    <row r="70" ht="16" customHeight="1" spans="1:6" x14ac:dyDescent="0.25">
      <c r="A70" s="29" t="s">
        <v>189</v>
      </c>
      <c r="B70" s="20"/>
      <c r="C70" s="20"/>
      <c r="D70" s="20"/>
      <c r="E70" s="20"/>
      <c r="F70" s="20"/>
    </row>
    <row r="71" ht="16" customHeight="1" spans="1:6" x14ac:dyDescent="0.25">
      <c r="A71" s="12" t="s">
        <v>190</v>
      </c>
      <c r="B71" s="80"/>
      <c r="C71" s="80"/>
      <c r="D71" s="80"/>
      <c r="E71" s="80"/>
      <c r="F71" s="80"/>
    </row>
    <row r="72" ht="16" customHeight="1" spans="1:6" x14ac:dyDescent="0.25">
      <c r="A72" s="29" t="s">
        <v>191</v>
      </c>
      <c r="B72" s="20"/>
      <c r="C72" s="20"/>
      <c r="D72" s="20"/>
      <c r="E72" s="20"/>
      <c r="F72" s="20"/>
    </row>
    <row r="73" ht="16" customHeight="1" spans="1:6" x14ac:dyDescent="0.25">
      <c r="A73" s="12" t="s">
        <v>192</v>
      </c>
      <c r="B73" s="80"/>
      <c r="C73" s="80"/>
      <c r="D73" s="80"/>
      <c r="E73" s="80"/>
      <c r="F73" s="80"/>
    </row>
    <row r="74" ht="16" customHeight="1" spans="1:6" x14ac:dyDescent="0.25">
      <c r="A74" s="29" t="s">
        <v>193</v>
      </c>
      <c r="B74" s="20"/>
      <c r="C74" s="20"/>
      <c r="D74" s="20"/>
      <c r="E74" s="20"/>
      <c r="F74" s="20"/>
    </row>
    <row r="75" ht="16" customHeight="1" spans="1:6" x14ac:dyDescent="0.25">
      <c r="A75" s="12" t="s">
        <v>194</v>
      </c>
      <c r="B75" s="80"/>
      <c r="C75" s="80"/>
      <c r="D75" s="80"/>
      <c r="E75" s="80"/>
      <c r="F75" s="80"/>
    </row>
    <row r="76" ht="16" customHeight="1" spans="1:6" x14ac:dyDescent="0.25">
      <c r="A76" s="29" t="s">
        <v>195</v>
      </c>
      <c r="B76" s="20"/>
      <c r="C76" s="20"/>
      <c r="D76" s="20"/>
      <c r="E76" s="20"/>
      <c r="F76" s="20"/>
    </row>
    <row r="77" ht="16" customHeight="1" spans="1:6" x14ac:dyDescent="0.25">
      <c r="A77" s="12" t="s">
        <v>196</v>
      </c>
      <c r="B77" s="80"/>
      <c r="C77" s="80"/>
      <c r="D77" s="80"/>
      <c r="E77" s="80"/>
      <c r="F77" s="80"/>
    </row>
    <row r="78" ht="16" customHeight="1" spans="1:6" x14ac:dyDescent="0.25">
      <c r="A78" s="29" t="s">
        <v>197</v>
      </c>
      <c r="B78" s="20"/>
      <c r="C78" s="20"/>
      <c r="D78" s="20"/>
      <c r="E78" s="20"/>
      <c r="F78" s="20"/>
    </row>
    <row r="79" ht="16" customHeight="1" spans="1:6" x14ac:dyDescent="0.25">
      <c r="A79" s="12" t="s">
        <v>198</v>
      </c>
      <c r="B79" s="80"/>
      <c r="C79" s="80"/>
      <c r="D79" s="80"/>
      <c r="E79" s="80"/>
      <c r="F79" s="80"/>
    </row>
    <row r="80" ht="16" customHeight="1" spans="1:6" x14ac:dyDescent="0.25">
      <c r="A80" s="29" t="s">
        <v>199</v>
      </c>
      <c r="B80" s="20"/>
      <c r="C80" s="20"/>
      <c r="D80" s="20"/>
      <c r="E80" s="20"/>
      <c r="F80" s="20"/>
    </row>
    <row r="81" ht="16" customHeight="1" spans="1:6" x14ac:dyDescent="0.25">
      <c r="A81" s="12" t="s">
        <v>200</v>
      </c>
      <c r="B81" s="80"/>
      <c r="C81" s="80"/>
      <c r="D81" s="80"/>
      <c r="E81" s="80"/>
      <c r="F81" s="80"/>
    </row>
    <row r="82" ht="16" customHeight="1" spans="1:6" x14ac:dyDescent="0.25">
      <c r="A82" s="29" t="s">
        <v>201</v>
      </c>
      <c r="B82" s="20"/>
      <c r="C82" s="20"/>
      <c r="D82" s="20"/>
      <c r="E82" s="20"/>
      <c r="F82" s="20"/>
    </row>
    <row r="83" ht="16" customHeight="1" spans="1:6" x14ac:dyDescent="0.25">
      <c r="A83" s="12" t="s">
        <v>202</v>
      </c>
      <c r="B83" s="80"/>
      <c r="C83" s="80"/>
      <c r="D83" s="80"/>
      <c r="E83" s="80"/>
      <c r="F83" s="80"/>
    </row>
    <row r="84" ht="16" customHeight="1" spans="1:6" x14ac:dyDescent="0.25">
      <c r="A84" s="29" t="s">
        <v>203</v>
      </c>
      <c r="B84" s="20"/>
      <c r="C84" s="20"/>
      <c r="D84" s="20"/>
      <c r="E84" s="20"/>
      <c r="F84" s="20"/>
    </row>
    <row r="85" ht="16" customHeight="1" spans="1:6" x14ac:dyDescent="0.25">
      <c r="A85" s="12" t="s">
        <v>204</v>
      </c>
      <c r="B85" s="80"/>
      <c r="C85" s="80"/>
      <c r="D85" s="80"/>
      <c r="E85" s="80"/>
      <c r="F85" s="80"/>
    </row>
    <row r="86" ht="16" customHeight="1" spans="1:6" x14ac:dyDescent="0.25">
      <c r="A86" s="29" t="s">
        <v>205</v>
      </c>
      <c r="B86" s="20"/>
      <c r="C86" s="20"/>
      <c r="D86" s="20"/>
      <c r="E86" s="20"/>
      <c r="F86" s="20"/>
    </row>
    <row r="87" ht="16" customHeight="1" spans="1:6" x14ac:dyDescent="0.25">
      <c r="A87" s="12" t="s">
        <v>206</v>
      </c>
      <c r="B87" s="80"/>
      <c r="C87" s="80"/>
      <c r="D87" s="80"/>
      <c r="E87" s="80"/>
      <c r="F87" s="80"/>
    </row>
    <row r="88" ht="16" customHeight="1" spans="1:6" x14ac:dyDescent="0.25">
      <c r="A88" s="29" t="s">
        <v>58</v>
      </c>
      <c r="B88" s="20"/>
      <c r="C88" s="20"/>
      <c r="D88" s="20"/>
      <c r="E88" s="20"/>
      <c r="F88" s="20"/>
    </row>
    <row r="89" ht="16" customHeight="1" spans="1:6" x14ac:dyDescent="0.25">
      <c r="A89" s="12" t="s">
        <v>207</v>
      </c>
      <c r="B89" s="80"/>
      <c r="C89" s="80"/>
      <c r="D89" s="80"/>
      <c r="E89" s="80"/>
      <c r="F89" s="80"/>
    </row>
    <row r="90" ht="16" customHeight="1" spans="1:6" x14ac:dyDescent="0.25">
      <c r="A90" s="29" t="s">
        <v>208</v>
      </c>
      <c r="B90" s="20"/>
      <c r="C90" s="20"/>
      <c r="D90" s="20"/>
      <c r="E90" s="20"/>
      <c r="F90" s="20"/>
    </row>
    <row r="91" ht="16" customHeight="1" spans="1:6" x14ac:dyDescent="0.25">
      <c r="A91" s="12" t="s">
        <v>209</v>
      </c>
      <c r="B91" s="80"/>
      <c r="C91" s="80"/>
      <c r="D91" s="80"/>
      <c r="E91" s="80"/>
      <c r="F91" s="80"/>
    </row>
    <row r="92" ht="16" customHeight="1" spans="1:6" x14ac:dyDescent="0.25">
      <c r="A92" s="29" t="s">
        <v>210</v>
      </c>
      <c r="B92" s="20"/>
      <c r="C92" s="20"/>
      <c r="D92" s="20"/>
      <c r="E92" s="20"/>
      <c r="F92" s="20"/>
    </row>
    <row r="93" ht="16" customHeight="1" spans="1:6" x14ac:dyDescent="0.25">
      <c r="A93" s="12" t="s">
        <v>211</v>
      </c>
      <c r="B93" s="80"/>
      <c r="C93" s="80"/>
      <c r="D93" s="80"/>
      <c r="E93" s="80"/>
      <c r="F93" s="80"/>
    </row>
    <row r="94" ht="16" customHeight="1" spans="1:6" x14ac:dyDescent="0.25">
      <c r="A94" s="29" t="s">
        <v>74</v>
      </c>
      <c r="B94" s="20"/>
      <c r="C94" s="20"/>
      <c r="D94" s="20"/>
      <c r="E94" s="20"/>
      <c r="F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2026-09-05T05:33:54Z</dcterms:created>
  <dcterms:modified xsi:type="dcterms:W3CDTF">2026-09-05T05:33:54Z</dcterms:modified>
</cp:coreProperties>
</file>