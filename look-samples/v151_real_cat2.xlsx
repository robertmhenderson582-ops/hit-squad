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'Staff'!$A1:$AP70</definedName>
    <definedName name="_xlnm.Print_Titles" localSheetId="1">'Staff'!$A:$J,'Staff'!$4:$6</definedName>
    <definedName name="_xlnm.Print_Area" localSheetId="2">'Foremen'!$A1:$AP22</definedName>
    <definedName name="_xlnm.Print_Titles" localSheetId="2">'Foremen'!$A:$J,'Foremen'!$4:$6</definedName>
    <definedName name="_xlnm.Print_Area" localSheetId="3">'Direct'!$A1:$AP22</definedName>
    <definedName name="_xlnm.Print_Titles" localSheetId="3">'Direct'!$A:$J,'Direct'!$4:$6</definedName>
    <definedName name="_xlnm.Print_Area" localSheetId="4">'Support'!$A1:$AP22</definedName>
    <definedName name="_xlnm.Print_Titles" localSheetId="4">'Support'!$A:$J,'Support'!$4:$6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<sst xmlns="http://schemas.openxmlformats.org/spreadsheetml/2006/main" count="507" uniqueCount="110">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</sst>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color rgb="FF102226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8" fillId="5" borderId="0" xfId="0" applyFont="1" applyFill="1" applyAlignment="1" applyProtection="1">
      <alignment horizontal="center" vertical="center"/>
    </xf>
    <xf numFmtId="0" fontId="8" fillId="6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165" fontId="4" fillId="3" borderId="1" xfId="0" applyNumberFormat="1" applyFont="1" applyFill="1" applyBorder="1" applyAlignment="1" applyProtection="1">
      <alignment horizontal="center" vertical="center"/>
    </xf>
    <xf numFmtId="165" fontId="10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11" fillId="0" borderId="0" xfId="0" applyFont="1" applyProtection="1"/>
    <xf numFmtId="0" fontId="4" fillId="2" borderId="3" xfId="0" applyFont="1" applyFill="1" applyBorder="1" applyAlignment="1" applyProtection="1">
      <alignment horizontal="center" vertical="center"/>
    </xf>
    <xf numFmtId="3" fontId="11" fillId="8" borderId="10" xfId="0" applyNumberFormat="1" applyFont="1" applyFill="1" applyBorder="1" applyAlignment="1" applyProtection="1">
      <alignment horizontal="center" vertical="center"/>
      <protection locked="0"/>
    </xf>
    <xf numFmtId="3" fontId="11" fillId="8" borderId="3" xfId="0" applyNumberFormat="1" applyFont="1" applyFill="1" applyBorder="1" applyAlignment="1" applyProtection="1">
      <alignment horizontal="center" vertical="center"/>
      <protection locked="0"/>
    </xf>
    <xf numFmtId="3" fontId="11" fillId="7" borderId="3" xfId="0" applyNumberFormat="1" applyFont="1" applyFill="1" applyBorder="1" applyAlignment="1" applyProtection="1">
      <alignment horizontal="center" vertical="center"/>
      <protection locked="0"/>
    </xf>
    <xf numFmtId="3" fontId="11" fillId="8" borderId="11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11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3" fontId="11" fillId="8" borderId="15" xfId="0" applyNumberFormat="1" applyFont="1" applyFill="1" applyBorder="1" applyAlignment="1" applyProtection="1">
      <alignment horizontal="center" vertical="center"/>
      <protection locked="0"/>
    </xf>
    <xf numFmtId="3" fontId="11" fillId="8" borderId="14" xfId="0" applyNumberFormat="1" applyFont="1" applyFill="1" applyBorder="1" applyAlignment="1" applyProtection="1">
      <alignment horizontal="center" vertical="center"/>
      <protection locked="0"/>
    </xf>
    <xf numFmtId="3" fontId="11" fillId="7" borderId="14" xfId="0" applyNumberFormat="1" applyFont="1" applyFill="1" applyBorder="1" applyAlignment="1" applyProtection="1">
      <alignment horizontal="center" vertical="center"/>
      <protection locked="0"/>
    </xf>
    <xf numFmtId="3" fontId="11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0" fontId="8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/>
    <xf numFmtId="0" fontId="6" fillId="3" borderId="3" xfId="0" applyFont="1" applyFill="1" applyBorder="1" applyProtection="1"/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</row>
    <row r="2" ht="16" customHeight="1" spans="1: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ht="16" customHeight="1" spans="1: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ht="14" customHeight="1" spans="1:42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19</v>
      </c>
      <c r="L4" s="28"/>
      <c r="M4" s="28"/>
      <c r="N4" s="28"/>
      <c r="O4" s="28"/>
      <c r="P4" s="28"/>
      <c r="Q4" s="28"/>
      <c r="R4" s="28"/>
      <c r="S4" s="28"/>
      <c r="T4" s="28"/>
      <c r="U4" s="29" t="s">
        <v>20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8" t="s">
        <v>21</v>
      </c>
      <c r="AJ4" s="28"/>
      <c r="AK4" s="28"/>
      <c r="AL4" s="28"/>
      <c r="AM4" s="28"/>
      <c r="AN4" s="28"/>
      <c r="AO4" s="28"/>
      <c r="AP4" s="28"/>
    </row>
    <row r="5" ht="14" customHeight="1" spans="1: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0" t="s">
        <v>22</v>
      </c>
      <c r="L5" s="30" t="s">
        <v>23</v>
      </c>
      <c r="M5" s="30" t="s">
        <v>24</v>
      </c>
      <c r="N5" s="30" t="s">
        <v>25</v>
      </c>
      <c r="O5" s="30" t="s">
        <v>26</v>
      </c>
      <c r="P5" s="30" t="s">
        <v>27</v>
      </c>
      <c r="Q5" s="30" t="s">
        <v>28</v>
      </c>
      <c r="R5" s="30" t="s">
        <v>22</v>
      </c>
      <c r="S5" s="30" t="s">
        <v>23</v>
      </c>
      <c r="T5" s="30" t="s">
        <v>24</v>
      </c>
      <c r="U5" s="30" t="s">
        <v>25</v>
      </c>
      <c r="V5" s="30" t="s">
        <v>26</v>
      </c>
      <c r="W5" s="30" t="s">
        <v>27</v>
      </c>
      <c r="X5" s="30" t="s">
        <v>28</v>
      </c>
      <c r="Y5" s="30" t="s">
        <v>22</v>
      </c>
      <c r="Z5" s="30" t="s">
        <v>23</v>
      </c>
      <c r="AA5" s="30" t="s">
        <v>24</v>
      </c>
      <c r="AB5" s="30" t="s">
        <v>25</v>
      </c>
      <c r="AC5" s="30" t="s">
        <v>26</v>
      </c>
      <c r="AD5" s="30" t="s">
        <v>27</v>
      </c>
      <c r="AE5" s="30" t="s">
        <v>28</v>
      </c>
      <c r="AF5" s="30" t="s">
        <v>22</v>
      </c>
      <c r="AG5" s="30" t="s">
        <v>23</v>
      </c>
      <c r="AH5" s="30" t="s">
        <v>24</v>
      </c>
      <c r="AI5" s="30" t="s">
        <v>25</v>
      </c>
      <c r="AJ5" s="30" t="s">
        <v>26</v>
      </c>
      <c r="AK5" s="30" t="s">
        <v>27</v>
      </c>
      <c r="AL5" s="30" t="s">
        <v>28</v>
      </c>
      <c r="AM5" s="30" t="s">
        <v>22</v>
      </c>
      <c r="AN5" s="30" t="s">
        <v>23</v>
      </c>
      <c r="AO5" s="30" t="s">
        <v>24</v>
      </c>
      <c r="AP5" s="30" t="s">
        <v>25</v>
      </c>
    </row>
    <row r="6" ht="22" customHeight="1" spans="1:42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10</v>
      </c>
      <c r="K6" s="32">
        <v>46286</v>
      </c>
      <c r="L6" s="32">
        <f>K6+1</f>
        <v>46287</v>
      </c>
      <c r="M6" s="32">
        <f>L6+1</f>
        <v>46288</v>
      </c>
      <c r="N6" s="32">
        <f>M6+1</f>
        <v>46289</v>
      </c>
      <c r="O6" s="32">
        <f>N6+1</f>
        <v>46290</v>
      </c>
      <c r="P6" s="33">
        <f>O6+1</f>
        <v>46291</v>
      </c>
      <c r="Q6" s="33">
        <f>P6+1</f>
        <v>46292</v>
      </c>
      <c r="R6" s="32">
        <f>Q6+1</f>
        <v>46293</v>
      </c>
      <c r="S6" s="32">
        <f>R6+1</f>
        <v>46294</v>
      </c>
      <c r="T6" s="32">
        <f>S6+1</f>
        <v>46295</v>
      </c>
      <c r="U6" s="32">
        <f>T6+1</f>
        <v>46296</v>
      </c>
      <c r="V6" s="32">
        <f>U6+1</f>
        <v>46297</v>
      </c>
      <c r="W6" s="33">
        <f>V6+1</f>
        <v>46298</v>
      </c>
      <c r="X6" s="33">
        <f>W6+1</f>
        <v>46299</v>
      </c>
      <c r="Y6" s="32">
        <f>X6+1</f>
        <v>46300</v>
      </c>
      <c r="Z6" s="32">
        <f>Y6+1</f>
        <v>46301</v>
      </c>
      <c r="AA6" s="32">
        <f>Z6+1</f>
        <v>46302</v>
      </c>
      <c r="AB6" s="32">
        <f>AA6+1</f>
        <v>46303</v>
      </c>
      <c r="AC6" s="32">
        <f>AB6+1</f>
        <v>46304</v>
      </c>
      <c r="AD6" s="33">
        <f>AC6+1</f>
        <v>46305</v>
      </c>
      <c r="AE6" s="33">
        <f>AD6+1</f>
        <v>46306</v>
      </c>
      <c r="AF6" s="32">
        <f>AE6+1</f>
        <v>46307</v>
      </c>
      <c r="AG6" s="32">
        <f>AF6+1</f>
        <v>46308</v>
      </c>
      <c r="AH6" s="32">
        <f>AG6+1</f>
        <v>46309</v>
      </c>
      <c r="AI6" s="32">
        <f>AH6+1</f>
        <v>46310</v>
      </c>
      <c r="AJ6" s="32">
        <f>AI6+1</f>
        <v>46311</v>
      </c>
      <c r="AK6" s="33">
        <f>AJ6+1</f>
        <v>46312</v>
      </c>
      <c r="AL6" s="33">
        <f>AK6+1</f>
        <v>46313</v>
      </c>
      <c r="AM6" s="32">
        <f>AL6+1</f>
        <v>46314</v>
      </c>
      <c r="AN6" s="32">
        <f>AM6+1</f>
        <v>46315</v>
      </c>
      <c r="AO6" s="32">
        <f>AN6+1</f>
        <v>46316</v>
      </c>
      <c r="AP6" s="32">
        <f>AO6+1</f>
        <v>46317</v>
      </c>
    </row>
    <row r="7" ht="16" customHeight="1" spans="1:411" x14ac:dyDescent="0.25">
      <c r="A7" s="34" t="s">
        <v>38</v>
      </c>
      <c r="B7" s="35" t="s">
        <v>39</v>
      </c>
      <c r="C7" s="36">
        <f>J7</f>
        <v>35365.28</v>
      </c>
      <c r="D7" s="37"/>
      <c r="E7" s="37"/>
      <c r="F7" s="38">
        <f>SUM(K10:AP10)</f>
        <v>212</v>
      </c>
      <c r="G7" s="38">
        <f>SUM(K11:AP11)</f>
        <v>44</v>
      </c>
      <c r="H7" s="38">
        <f>SUM(K12:AP12)</f>
        <v>24</v>
      </c>
      <c r="I7" s="38">
        <f>SUM(K13:AP13)</f>
        <v>22</v>
      </c>
      <c r="J7" s="39">
        <f>C10+C11+C12</f>
        <v>35365.28</v>
      </c>
      <c r="K7" s="40"/>
      <c r="L7" s="41"/>
      <c r="M7" s="41"/>
      <c r="N7" s="41"/>
      <c r="O7" s="41"/>
      <c r="P7" s="42"/>
      <c r="Q7" s="42"/>
      <c r="R7" s="41"/>
      <c r="S7" s="41"/>
      <c r="T7" s="41"/>
      <c r="U7" s="41"/>
      <c r="V7" s="41"/>
      <c r="W7" s="42"/>
      <c r="X7" s="42"/>
      <c r="Y7" s="41"/>
      <c r="Z7" s="41"/>
      <c r="AA7" s="41"/>
      <c r="AB7" s="41"/>
      <c r="AC7" s="41"/>
      <c r="AD7" s="42"/>
      <c r="AE7" s="42"/>
      <c r="AF7" s="41"/>
      <c r="AG7" s="41"/>
      <c r="AH7" s="41"/>
      <c r="AI7" s="41"/>
      <c r="AJ7" s="41"/>
      <c r="AK7" s="42"/>
      <c r="AL7" s="42"/>
      <c r="AM7" s="41"/>
      <c r="AN7" s="41"/>
      <c r="AO7" s="41"/>
      <c r="AP7" s="43"/>
      <c r="OU7" s="44" t="s">
        <v>40</v>
      </c>
    </row>
    <row r="8" ht="16" customHeight="1" spans="1:411" x14ac:dyDescent="0.25">
      <c r="A8" s="34"/>
      <c r="B8" s="35"/>
      <c r="C8" s="36"/>
      <c r="D8" s="37"/>
      <c r="E8" s="45" t="s">
        <v>41</v>
      </c>
      <c r="F8" s="38"/>
      <c r="G8" s="38"/>
      <c r="H8" s="38"/>
      <c r="I8" s="38"/>
      <c r="J8" s="39"/>
      <c r="K8" s="46">
        <v>1</v>
      </c>
      <c r="L8" s="47">
        <v>1</v>
      </c>
      <c r="M8" s="47">
        <v>1</v>
      </c>
      <c r="N8" s="47">
        <v>1</v>
      </c>
      <c r="O8" s="47">
        <v>1</v>
      </c>
      <c r="P8" s="48">
        <v>0</v>
      </c>
      <c r="Q8" s="48">
        <v>0</v>
      </c>
      <c r="R8" s="47">
        <v>1</v>
      </c>
      <c r="S8" s="47">
        <v>1</v>
      </c>
      <c r="T8" s="47">
        <v>1</v>
      </c>
      <c r="U8" s="47">
        <v>1</v>
      </c>
      <c r="V8" s="47">
        <v>1</v>
      </c>
      <c r="W8" s="48">
        <v>1</v>
      </c>
      <c r="X8" s="48">
        <v>1</v>
      </c>
      <c r="Y8" s="47">
        <v>1</v>
      </c>
      <c r="Z8" s="47">
        <v>1</v>
      </c>
      <c r="AA8" s="47">
        <v>1</v>
      </c>
      <c r="AB8" s="47">
        <v>1</v>
      </c>
      <c r="AC8" s="47">
        <v>1</v>
      </c>
      <c r="AD8" s="48">
        <v>1</v>
      </c>
      <c r="AE8" s="48">
        <v>1</v>
      </c>
      <c r="AF8" s="47">
        <v>1</v>
      </c>
      <c r="AG8" s="47">
        <v>1</v>
      </c>
      <c r="AH8" s="47">
        <v>1</v>
      </c>
      <c r="AI8" s="47">
        <v>1</v>
      </c>
      <c r="AJ8" s="47">
        <v>1</v>
      </c>
      <c r="AK8" s="48">
        <v>0</v>
      </c>
      <c r="AL8" s="48">
        <v>0</v>
      </c>
      <c r="AM8" s="47">
        <v>1</v>
      </c>
      <c r="AN8" s="47">
        <v>1</v>
      </c>
      <c r="AO8" s="47">
        <v>1</v>
      </c>
      <c r="AP8" s="49">
        <v>1</v>
      </c>
      <c r="OU8" s="50" t="s">
        <v>40</v>
      </c>
    </row>
    <row r="9" ht="16" customHeight="1" spans="1:411" x14ac:dyDescent="0.25">
      <c r="A9" s="34"/>
      <c r="B9" s="35"/>
      <c r="C9" s="36"/>
      <c r="D9" s="37"/>
      <c r="E9" s="45" t="s">
        <v>42</v>
      </c>
      <c r="F9" s="38"/>
      <c r="G9" s="38"/>
      <c r="H9" s="38"/>
      <c r="I9" s="38"/>
      <c r="J9" s="39"/>
      <c r="K9" s="46">
        <v>8</v>
      </c>
      <c r="L9" s="47">
        <v>8</v>
      </c>
      <c r="M9" s="47">
        <v>8</v>
      </c>
      <c r="N9" s="47">
        <v>8</v>
      </c>
      <c r="O9" s="47">
        <v>8</v>
      </c>
      <c r="P9" s="48">
        <v>0</v>
      </c>
      <c r="Q9" s="48">
        <v>0</v>
      </c>
      <c r="R9" s="47">
        <v>8</v>
      </c>
      <c r="S9" s="47">
        <v>8</v>
      </c>
      <c r="T9" s="47">
        <v>8</v>
      </c>
      <c r="U9" s="47">
        <v>12</v>
      </c>
      <c r="V9" s="47">
        <v>12</v>
      </c>
      <c r="W9" s="48">
        <v>12</v>
      </c>
      <c r="X9" s="48">
        <v>12</v>
      </c>
      <c r="Y9" s="47">
        <v>12</v>
      </c>
      <c r="Z9" s="47">
        <v>12</v>
      </c>
      <c r="AA9" s="47">
        <v>12</v>
      </c>
      <c r="AB9" s="47">
        <v>12</v>
      </c>
      <c r="AC9" s="47">
        <v>12</v>
      </c>
      <c r="AD9" s="48">
        <v>12</v>
      </c>
      <c r="AE9" s="48">
        <v>12</v>
      </c>
      <c r="AF9" s="47">
        <v>12</v>
      </c>
      <c r="AG9" s="47">
        <v>12</v>
      </c>
      <c r="AH9" s="47">
        <v>12</v>
      </c>
      <c r="AI9" s="47">
        <v>8</v>
      </c>
      <c r="AJ9" s="47">
        <v>8</v>
      </c>
      <c r="AK9" s="48">
        <v>0</v>
      </c>
      <c r="AL9" s="48">
        <v>0</v>
      </c>
      <c r="AM9" s="47">
        <v>8</v>
      </c>
      <c r="AN9" s="47">
        <v>8</v>
      </c>
      <c r="AO9" s="47">
        <v>8</v>
      </c>
      <c r="AP9" s="49">
        <v>8</v>
      </c>
      <c r="OU9" s="50" t="s">
        <v>40</v>
      </c>
    </row>
    <row r="10" ht="16" customHeight="1" spans="1:411" x14ac:dyDescent="0.25">
      <c r="A10" s="34"/>
      <c r="B10" s="35"/>
      <c r="C10" s="51">
        <f>F7*D10</f>
        <v>23674.04</v>
      </c>
      <c r="D10" s="51">
        <f>'Rate Tables'!C7</f>
        <v>111.67</v>
      </c>
      <c r="E10" s="45" t="s">
        <v>43</v>
      </c>
      <c r="F10" s="38"/>
      <c r="G10" s="38"/>
      <c r="H10" s="38"/>
      <c r="I10" s="38"/>
      <c r="J10" s="39"/>
      <c r="K10" s="52">
        <v>8</v>
      </c>
      <c r="L10" s="53">
        <v>8</v>
      </c>
      <c r="M10" s="53">
        <v>8</v>
      </c>
      <c r="N10" s="53">
        <v>8</v>
      </c>
      <c r="O10" s="53">
        <v>8</v>
      </c>
      <c r="P10" s="54">
        <v>0</v>
      </c>
      <c r="Q10" s="54">
        <v>0</v>
      </c>
      <c r="R10" s="53">
        <v>8</v>
      </c>
      <c r="S10" s="53">
        <v>8</v>
      </c>
      <c r="T10" s="53">
        <v>8</v>
      </c>
      <c r="U10" s="53">
        <v>10</v>
      </c>
      <c r="V10" s="53">
        <v>10</v>
      </c>
      <c r="W10" s="54">
        <v>10</v>
      </c>
      <c r="X10" s="54">
        <v>0</v>
      </c>
      <c r="Y10" s="53">
        <v>10</v>
      </c>
      <c r="Z10" s="53">
        <v>10</v>
      </c>
      <c r="AA10" s="53">
        <v>10</v>
      </c>
      <c r="AB10" s="53">
        <v>10</v>
      </c>
      <c r="AC10" s="53">
        <v>0</v>
      </c>
      <c r="AD10" s="54">
        <v>0</v>
      </c>
      <c r="AE10" s="54">
        <v>0</v>
      </c>
      <c r="AF10" s="53">
        <v>10</v>
      </c>
      <c r="AG10" s="53">
        <v>10</v>
      </c>
      <c r="AH10" s="53">
        <v>10</v>
      </c>
      <c r="AI10" s="53">
        <v>8</v>
      </c>
      <c r="AJ10" s="53">
        <v>8</v>
      </c>
      <c r="AK10" s="54">
        <v>0</v>
      </c>
      <c r="AL10" s="54">
        <v>0</v>
      </c>
      <c r="AM10" s="53">
        <v>8</v>
      </c>
      <c r="AN10" s="53">
        <v>8</v>
      </c>
      <c r="AO10" s="53">
        <v>8</v>
      </c>
      <c r="AP10" s="55">
        <v>8</v>
      </c>
      <c r="OU10" s="44" t="s">
        <v>40</v>
      </c>
    </row>
    <row r="11" ht="16" customHeight="1" spans="1:411" x14ac:dyDescent="0.25">
      <c r="A11" s="34"/>
      <c r="B11" s="35"/>
      <c r="C11" s="56">
        <f>G7*D11</f>
        <v>6873.240000000001</v>
      </c>
      <c r="D11" s="56">
        <f>'Rate Tables'!D7</f>
        <v>156.21</v>
      </c>
      <c r="E11" s="45" t="s">
        <v>44</v>
      </c>
      <c r="F11" s="38"/>
      <c r="G11" s="38"/>
      <c r="H11" s="38"/>
      <c r="I11" s="38"/>
      <c r="J11" s="39"/>
      <c r="K11" s="52">
        <v>0</v>
      </c>
      <c r="L11" s="53">
        <v>0</v>
      </c>
      <c r="M11" s="53">
        <v>0</v>
      </c>
      <c r="N11" s="53">
        <v>0</v>
      </c>
      <c r="O11" s="53">
        <v>0</v>
      </c>
      <c r="P11" s="54">
        <v>0</v>
      </c>
      <c r="Q11" s="54">
        <v>0</v>
      </c>
      <c r="R11" s="53">
        <v>0</v>
      </c>
      <c r="S11" s="53">
        <v>0</v>
      </c>
      <c r="T11" s="53">
        <v>0</v>
      </c>
      <c r="U11" s="53">
        <v>2</v>
      </c>
      <c r="V11" s="53">
        <v>2</v>
      </c>
      <c r="W11" s="54">
        <v>2</v>
      </c>
      <c r="X11" s="54">
        <v>0</v>
      </c>
      <c r="Y11" s="53">
        <v>2</v>
      </c>
      <c r="Z11" s="53">
        <v>2</v>
      </c>
      <c r="AA11" s="53">
        <v>2</v>
      </c>
      <c r="AB11" s="53">
        <v>2</v>
      </c>
      <c r="AC11" s="53">
        <v>12</v>
      </c>
      <c r="AD11" s="54">
        <v>12</v>
      </c>
      <c r="AE11" s="54">
        <v>0</v>
      </c>
      <c r="AF11" s="53">
        <v>2</v>
      </c>
      <c r="AG11" s="53">
        <v>2</v>
      </c>
      <c r="AH11" s="53">
        <v>2</v>
      </c>
      <c r="AI11" s="53">
        <v>0</v>
      </c>
      <c r="AJ11" s="53">
        <v>0</v>
      </c>
      <c r="AK11" s="54">
        <v>0</v>
      </c>
      <c r="AL11" s="54">
        <v>0</v>
      </c>
      <c r="AM11" s="53">
        <v>0</v>
      </c>
      <c r="AN11" s="53">
        <v>0</v>
      </c>
      <c r="AO11" s="53">
        <v>0</v>
      </c>
      <c r="AP11" s="55">
        <v>0</v>
      </c>
      <c r="OU11" s="44" t="s">
        <v>40</v>
      </c>
    </row>
    <row r="12" ht="16" customHeight="1" spans="1:411" x14ac:dyDescent="0.25">
      <c r="A12" s="34"/>
      <c r="B12" s="35"/>
      <c r="C12" s="51">
        <f>H7*D12</f>
        <v>4818</v>
      </c>
      <c r="D12" s="51">
        <f>'Rate Tables'!E7</f>
        <v>200.75</v>
      </c>
      <c r="E12" s="45" t="s">
        <v>45</v>
      </c>
      <c r="F12" s="38"/>
      <c r="G12" s="38"/>
      <c r="H12" s="38"/>
      <c r="I12" s="38"/>
      <c r="J12" s="39"/>
      <c r="K12" s="52">
        <v>0</v>
      </c>
      <c r="L12" s="53">
        <v>0</v>
      </c>
      <c r="M12" s="53">
        <v>0</v>
      </c>
      <c r="N12" s="53">
        <v>0</v>
      </c>
      <c r="O12" s="53">
        <v>0</v>
      </c>
      <c r="P12" s="54">
        <v>0</v>
      </c>
      <c r="Q12" s="54">
        <v>0</v>
      </c>
      <c r="R12" s="53">
        <v>0</v>
      </c>
      <c r="S12" s="53">
        <v>0</v>
      </c>
      <c r="T12" s="53">
        <v>0</v>
      </c>
      <c r="U12" s="53">
        <v>0</v>
      </c>
      <c r="V12" s="53">
        <v>0</v>
      </c>
      <c r="W12" s="54">
        <v>0</v>
      </c>
      <c r="X12" s="54">
        <v>12</v>
      </c>
      <c r="Y12" s="53">
        <v>0</v>
      </c>
      <c r="Z12" s="53">
        <v>0</v>
      </c>
      <c r="AA12" s="53">
        <v>0</v>
      </c>
      <c r="AB12" s="53">
        <v>0</v>
      </c>
      <c r="AC12" s="53">
        <v>0</v>
      </c>
      <c r="AD12" s="54">
        <v>0</v>
      </c>
      <c r="AE12" s="54">
        <v>12</v>
      </c>
      <c r="AF12" s="53">
        <v>0</v>
      </c>
      <c r="AG12" s="53">
        <v>0</v>
      </c>
      <c r="AH12" s="53">
        <v>0</v>
      </c>
      <c r="AI12" s="53">
        <v>0</v>
      </c>
      <c r="AJ12" s="53">
        <v>0</v>
      </c>
      <c r="AK12" s="54">
        <v>0</v>
      </c>
      <c r="AL12" s="54">
        <v>0</v>
      </c>
      <c r="AM12" s="53">
        <v>0</v>
      </c>
      <c r="AN12" s="53">
        <v>0</v>
      </c>
      <c r="AO12" s="53">
        <v>0</v>
      </c>
      <c r="AP12" s="55">
        <v>0</v>
      </c>
      <c r="OU12" s="44" t="s">
        <v>40</v>
      </c>
    </row>
    <row r="13" ht="16" customHeight="1" spans="1:411" x14ac:dyDescent="0.25">
      <c r="A13" s="34"/>
      <c r="B13" s="35"/>
      <c r="C13" s="57">
        <f>I7*D13</f>
        <v>3080</v>
      </c>
      <c r="D13" s="57">
        <v>140</v>
      </c>
      <c r="E13" s="58" t="s">
        <v>46</v>
      </c>
      <c r="F13" s="38"/>
      <c r="G13" s="38"/>
      <c r="H13" s="38"/>
      <c r="I13" s="38"/>
      <c r="J13" s="39"/>
      <c r="K13" s="59">
        <v>1</v>
      </c>
      <c r="L13" s="60">
        <v>1</v>
      </c>
      <c r="M13" s="60">
        <v>1</v>
      </c>
      <c r="N13" s="60">
        <v>1</v>
      </c>
      <c r="O13" s="60">
        <v>1</v>
      </c>
      <c r="P13" s="61">
        <v>0</v>
      </c>
      <c r="Q13" s="61">
        <v>0</v>
      </c>
      <c r="R13" s="60">
        <v>1</v>
      </c>
      <c r="S13" s="60">
        <v>1</v>
      </c>
      <c r="T13" s="60">
        <v>1</v>
      </c>
      <c r="U13" s="60">
        <v>1</v>
      </c>
      <c r="V13" s="60">
        <v>1</v>
      </c>
      <c r="W13" s="61">
        <v>1</v>
      </c>
      <c r="X13" s="61">
        <v>1</v>
      </c>
      <c r="Y13" s="60">
        <v>1</v>
      </c>
      <c r="Z13" s="60">
        <v>1</v>
      </c>
      <c r="AA13" s="60">
        <v>1</v>
      </c>
      <c r="AB13" s="60">
        <v>1</v>
      </c>
      <c r="AC13" s="60">
        <v>1</v>
      </c>
      <c r="AD13" s="61">
        <v>1</v>
      </c>
      <c r="AE13" s="61">
        <v>1</v>
      </c>
      <c r="AF13" s="60">
        <v>1</v>
      </c>
      <c r="AG13" s="60">
        <v>1</v>
      </c>
      <c r="AH13" s="60">
        <v>1</v>
      </c>
      <c r="AI13" s="60">
        <v>0</v>
      </c>
      <c r="AJ13" s="60">
        <v>0</v>
      </c>
      <c r="AK13" s="61">
        <v>0</v>
      </c>
      <c r="AL13" s="61">
        <v>0</v>
      </c>
      <c r="AM13" s="60">
        <v>0</v>
      </c>
      <c r="AN13" s="60">
        <v>0</v>
      </c>
      <c r="AO13" s="60">
        <v>0</v>
      </c>
      <c r="AP13" s="62">
        <v>0</v>
      </c>
      <c r="OU13" s="50" t="s">
        <v>40</v>
      </c>
    </row>
    <row r="14" ht="8" customHeight="1" spans="1:42" x14ac:dyDescent="0.25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</row>
    <row r="15" ht="16" customHeight="1" spans="1:411" x14ac:dyDescent="0.25">
      <c r="A15" s="64" t="s">
        <v>47</v>
      </c>
      <c r="B15" s="35" t="s">
        <v>39</v>
      </c>
      <c r="C15" s="36">
        <f>J15</f>
        <v>30005.120000000003</v>
      </c>
      <c r="D15" s="37"/>
      <c r="E15" s="37"/>
      <c r="F15" s="38">
        <f>SUM(K18:AP18)</f>
        <v>164</v>
      </c>
      <c r="G15" s="38">
        <f>SUM(K19:AP19)</f>
        <v>44</v>
      </c>
      <c r="H15" s="38">
        <f>SUM(K20:AP20)</f>
        <v>24</v>
      </c>
      <c r="I15" s="38">
        <f>SUM(K21:AP21)</f>
        <v>22</v>
      </c>
      <c r="J15" s="39">
        <f>C18+C19+C20</f>
        <v>30005.120000000003</v>
      </c>
      <c r="K15" s="40"/>
      <c r="L15" s="41"/>
      <c r="M15" s="41"/>
      <c r="N15" s="41"/>
      <c r="O15" s="41"/>
      <c r="P15" s="42"/>
      <c r="Q15" s="42"/>
      <c r="R15" s="41"/>
      <c r="S15" s="41"/>
      <c r="T15" s="41"/>
      <c r="U15" s="41"/>
      <c r="V15" s="41"/>
      <c r="W15" s="42"/>
      <c r="X15" s="42"/>
      <c r="Y15" s="41"/>
      <c r="Z15" s="41"/>
      <c r="AA15" s="41"/>
      <c r="AB15" s="41"/>
      <c r="AC15" s="41"/>
      <c r="AD15" s="42"/>
      <c r="AE15" s="42"/>
      <c r="AF15" s="41"/>
      <c r="AG15" s="41"/>
      <c r="AH15" s="41"/>
      <c r="AI15" s="41"/>
      <c r="AJ15" s="41"/>
      <c r="AK15" s="42"/>
      <c r="AL15" s="42"/>
      <c r="AM15" s="41"/>
      <c r="AN15" s="41"/>
      <c r="AO15" s="41"/>
      <c r="AP15" s="43"/>
      <c r="OU15" s="44" t="s">
        <v>48</v>
      </c>
    </row>
    <row r="16" ht="16" customHeight="1" spans="1:411" x14ac:dyDescent="0.25">
      <c r="A16" s="64"/>
      <c r="B16" s="35"/>
      <c r="C16" s="36"/>
      <c r="D16" s="37"/>
      <c r="E16" s="45" t="s">
        <v>41</v>
      </c>
      <c r="F16" s="38"/>
      <c r="G16" s="38"/>
      <c r="H16" s="38"/>
      <c r="I16" s="38"/>
      <c r="J16" s="39"/>
      <c r="K16" s="46">
        <v>1</v>
      </c>
      <c r="L16" s="47">
        <v>1</v>
      </c>
      <c r="M16" s="47">
        <v>1</v>
      </c>
      <c r="N16" s="47">
        <v>1</v>
      </c>
      <c r="O16" s="47">
        <v>1</v>
      </c>
      <c r="P16" s="48">
        <v>0</v>
      </c>
      <c r="Q16" s="48">
        <v>0</v>
      </c>
      <c r="R16" s="47">
        <v>1</v>
      </c>
      <c r="S16" s="47">
        <v>1</v>
      </c>
      <c r="T16" s="47">
        <v>1</v>
      </c>
      <c r="U16" s="47">
        <v>1</v>
      </c>
      <c r="V16" s="47">
        <v>1</v>
      </c>
      <c r="W16" s="48">
        <v>1</v>
      </c>
      <c r="X16" s="48">
        <v>1</v>
      </c>
      <c r="Y16" s="47">
        <v>1</v>
      </c>
      <c r="Z16" s="47">
        <v>1</v>
      </c>
      <c r="AA16" s="47">
        <v>1</v>
      </c>
      <c r="AB16" s="47">
        <v>1</v>
      </c>
      <c r="AC16" s="47">
        <v>1</v>
      </c>
      <c r="AD16" s="48">
        <v>1</v>
      </c>
      <c r="AE16" s="48">
        <v>1</v>
      </c>
      <c r="AF16" s="47">
        <v>1</v>
      </c>
      <c r="AG16" s="47">
        <v>1</v>
      </c>
      <c r="AH16" s="47">
        <v>1</v>
      </c>
      <c r="AI16" s="47">
        <v>0</v>
      </c>
      <c r="AJ16" s="47">
        <v>0</v>
      </c>
      <c r="AK16" s="48">
        <v>0</v>
      </c>
      <c r="AL16" s="48">
        <v>0</v>
      </c>
      <c r="AM16" s="47">
        <v>0</v>
      </c>
      <c r="AN16" s="47">
        <v>0</v>
      </c>
      <c r="AO16" s="47">
        <v>0</v>
      </c>
      <c r="AP16" s="49">
        <v>0</v>
      </c>
      <c r="OU16" s="50" t="s">
        <v>48</v>
      </c>
    </row>
    <row r="17" ht="16" customHeight="1" spans="1:411" x14ac:dyDescent="0.25">
      <c r="A17" s="64"/>
      <c r="B17" s="35"/>
      <c r="C17" s="36"/>
      <c r="D17" s="37"/>
      <c r="E17" s="45" t="s">
        <v>42</v>
      </c>
      <c r="F17" s="38"/>
      <c r="G17" s="38"/>
      <c r="H17" s="38"/>
      <c r="I17" s="38"/>
      <c r="J17" s="39"/>
      <c r="K17" s="46">
        <v>8</v>
      </c>
      <c r="L17" s="47">
        <v>8</v>
      </c>
      <c r="M17" s="47">
        <v>8</v>
      </c>
      <c r="N17" s="47">
        <v>8</v>
      </c>
      <c r="O17" s="47">
        <v>8</v>
      </c>
      <c r="P17" s="48">
        <v>0</v>
      </c>
      <c r="Q17" s="48">
        <v>0</v>
      </c>
      <c r="R17" s="47">
        <v>8</v>
      </c>
      <c r="S17" s="47">
        <v>8</v>
      </c>
      <c r="T17" s="47">
        <v>8</v>
      </c>
      <c r="U17" s="47">
        <v>12</v>
      </c>
      <c r="V17" s="47">
        <v>12</v>
      </c>
      <c r="W17" s="48">
        <v>12</v>
      </c>
      <c r="X17" s="48">
        <v>12</v>
      </c>
      <c r="Y17" s="47">
        <v>12</v>
      </c>
      <c r="Z17" s="47">
        <v>12</v>
      </c>
      <c r="AA17" s="47">
        <v>12</v>
      </c>
      <c r="AB17" s="47">
        <v>12</v>
      </c>
      <c r="AC17" s="47">
        <v>12</v>
      </c>
      <c r="AD17" s="48">
        <v>12</v>
      </c>
      <c r="AE17" s="48">
        <v>12</v>
      </c>
      <c r="AF17" s="47">
        <v>12</v>
      </c>
      <c r="AG17" s="47">
        <v>12</v>
      </c>
      <c r="AH17" s="47">
        <v>12</v>
      </c>
      <c r="AI17" s="47">
        <v>0</v>
      </c>
      <c r="AJ17" s="47">
        <v>0</v>
      </c>
      <c r="AK17" s="48">
        <v>0</v>
      </c>
      <c r="AL17" s="48">
        <v>0</v>
      </c>
      <c r="AM17" s="47">
        <v>0</v>
      </c>
      <c r="AN17" s="47">
        <v>0</v>
      </c>
      <c r="AO17" s="47">
        <v>0</v>
      </c>
      <c r="AP17" s="49">
        <v>0</v>
      </c>
      <c r="OU17" s="50" t="s">
        <v>48</v>
      </c>
    </row>
    <row r="18" ht="16" customHeight="1" spans="1:411" x14ac:dyDescent="0.25">
      <c r="A18" s="64"/>
      <c r="B18" s="35"/>
      <c r="C18" s="51">
        <f>F15*D18</f>
        <v>18313.88</v>
      </c>
      <c r="D18" s="51">
        <f>'Rate Tables'!C7</f>
        <v>111.67</v>
      </c>
      <c r="E18" s="45" t="s">
        <v>43</v>
      </c>
      <c r="F18" s="38"/>
      <c r="G18" s="38"/>
      <c r="H18" s="38"/>
      <c r="I18" s="38"/>
      <c r="J18" s="39"/>
      <c r="K18" s="52">
        <v>8</v>
      </c>
      <c r="L18" s="53">
        <v>8</v>
      </c>
      <c r="M18" s="53">
        <v>8</v>
      </c>
      <c r="N18" s="53">
        <v>8</v>
      </c>
      <c r="O18" s="53">
        <v>8</v>
      </c>
      <c r="P18" s="54">
        <v>0</v>
      </c>
      <c r="Q18" s="54">
        <v>0</v>
      </c>
      <c r="R18" s="53">
        <v>8</v>
      </c>
      <c r="S18" s="53">
        <v>8</v>
      </c>
      <c r="T18" s="53">
        <v>8</v>
      </c>
      <c r="U18" s="53">
        <v>10</v>
      </c>
      <c r="V18" s="53">
        <v>10</v>
      </c>
      <c r="W18" s="54">
        <v>10</v>
      </c>
      <c r="X18" s="54">
        <v>0</v>
      </c>
      <c r="Y18" s="53">
        <v>10</v>
      </c>
      <c r="Z18" s="53">
        <v>10</v>
      </c>
      <c r="AA18" s="53">
        <v>10</v>
      </c>
      <c r="AB18" s="53">
        <v>10</v>
      </c>
      <c r="AC18" s="53">
        <v>0</v>
      </c>
      <c r="AD18" s="54">
        <v>0</v>
      </c>
      <c r="AE18" s="54">
        <v>0</v>
      </c>
      <c r="AF18" s="53">
        <v>10</v>
      </c>
      <c r="AG18" s="53">
        <v>10</v>
      </c>
      <c r="AH18" s="53">
        <v>10</v>
      </c>
      <c r="AI18" s="53">
        <v>0</v>
      </c>
      <c r="AJ18" s="53">
        <v>0</v>
      </c>
      <c r="AK18" s="54">
        <v>0</v>
      </c>
      <c r="AL18" s="54">
        <v>0</v>
      </c>
      <c r="AM18" s="53">
        <v>0</v>
      </c>
      <c r="AN18" s="53">
        <v>0</v>
      </c>
      <c r="AO18" s="53">
        <v>0</v>
      </c>
      <c r="AP18" s="55">
        <v>0</v>
      </c>
      <c r="OU18" s="44" t="s">
        <v>48</v>
      </c>
    </row>
    <row r="19" ht="16" customHeight="1" spans="1:411" x14ac:dyDescent="0.25">
      <c r="A19" s="64"/>
      <c r="B19" s="35"/>
      <c r="C19" s="56">
        <f>G15*D19</f>
        <v>6873.240000000001</v>
      </c>
      <c r="D19" s="56">
        <f>'Rate Tables'!D7</f>
        <v>156.21</v>
      </c>
      <c r="E19" s="45" t="s">
        <v>44</v>
      </c>
      <c r="F19" s="38"/>
      <c r="G19" s="38"/>
      <c r="H19" s="38"/>
      <c r="I19" s="38"/>
      <c r="J19" s="39"/>
      <c r="K19" s="52">
        <v>0</v>
      </c>
      <c r="L19" s="53">
        <v>0</v>
      </c>
      <c r="M19" s="53">
        <v>0</v>
      </c>
      <c r="N19" s="53">
        <v>0</v>
      </c>
      <c r="O19" s="53">
        <v>0</v>
      </c>
      <c r="P19" s="54">
        <v>0</v>
      </c>
      <c r="Q19" s="54">
        <v>0</v>
      </c>
      <c r="R19" s="53">
        <v>0</v>
      </c>
      <c r="S19" s="53">
        <v>0</v>
      </c>
      <c r="T19" s="53">
        <v>0</v>
      </c>
      <c r="U19" s="53">
        <v>2</v>
      </c>
      <c r="V19" s="53">
        <v>2</v>
      </c>
      <c r="W19" s="54">
        <v>2</v>
      </c>
      <c r="X19" s="54">
        <v>0</v>
      </c>
      <c r="Y19" s="53">
        <v>2</v>
      </c>
      <c r="Z19" s="53">
        <v>2</v>
      </c>
      <c r="AA19" s="53">
        <v>2</v>
      </c>
      <c r="AB19" s="53">
        <v>2</v>
      </c>
      <c r="AC19" s="53">
        <v>12</v>
      </c>
      <c r="AD19" s="54">
        <v>12</v>
      </c>
      <c r="AE19" s="54">
        <v>0</v>
      </c>
      <c r="AF19" s="53">
        <v>2</v>
      </c>
      <c r="AG19" s="53">
        <v>2</v>
      </c>
      <c r="AH19" s="53">
        <v>2</v>
      </c>
      <c r="AI19" s="53">
        <v>0</v>
      </c>
      <c r="AJ19" s="53">
        <v>0</v>
      </c>
      <c r="AK19" s="54">
        <v>0</v>
      </c>
      <c r="AL19" s="54">
        <v>0</v>
      </c>
      <c r="AM19" s="53">
        <v>0</v>
      </c>
      <c r="AN19" s="53">
        <v>0</v>
      </c>
      <c r="AO19" s="53">
        <v>0</v>
      </c>
      <c r="AP19" s="55">
        <v>0</v>
      </c>
      <c r="OU19" s="44" t="s">
        <v>48</v>
      </c>
    </row>
    <row r="20" ht="16" customHeight="1" spans="1:411" x14ac:dyDescent="0.25">
      <c r="A20" s="64"/>
      <c r="B20" s="35"/>
      <c r="C20" s="51">
        <f>H15*D20</f>
        <v>4818</v>
      </c>
      <c r="D20" s="51">
        <f>'Rate Tables'!E7</f>
        <v>200.75</v>
      </c>
      <c r="E20" s="45" t="s">
        <v>45</v>
      </c>
      <c r="F20" s="38"/>
      <c r="G20" s="38"/>
      <c r="H20" s="38"/>
      <c r="I20" s="38"/>
      <c r="J20" s="39"/>
      <c r="K20" s="52">
        <v>0</v>
      </c>
      <c r="L20" s="53">
        <v>0</v>
      </c>
      <c r="M20" s="53">
        <v>0</v>
      </c>
      <c r="N20" s="53">
        <v>0</v>
      </c>
      <c r="O20" s="53">
        <v>0</v>
      </c>
      <c r="P20" s="54">
        <v>0</v>
      </c>
      <c r="Q20" s="54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4">
        <v>0</v>
      </c>
      <c r="X20" s="54">
        <v>12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4">
        <v>0</v>
      </c>
      <c r="AE20" s="54">
        <v>12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4">
        <v>0</v>
      </c>
      <c r="AL20" s="54">
        <v>0</v>
      </c>
      <c r="AM20" s="53">
        <v>0</v>
      </c>
      <c r="AN20" s="53">
        <v>0</v>
      </c>
      <c r="AO20" s="53">
        <v>0</v>
      </c>
      <c r="AP20" s="55">
        <v>0</v>
      </c>
      <c r="OU20" s="44" t="s">
        <v>48</v>
      </c>
    </row>
    <row r="21" ht="16" customHeight="1" spans="1:411" x14ac:dyDescent="0.25">
      <c r="A21" s="64"/>
      <c r="B21" s="35"/>
      <c r="C21" s="57">
        <f>I15*D21</f>
        <v>3080</v>
      </c>
      <c r="D21" s="57">
        <v>140</v>
      </c>
      <c r="E21" s="58" t="s">
        <v>46</v>
      </c>
      <c r="F21" s="38"/>
      <c r="G21" s="38"/>
      <c r="H21" s="38"/>
      <c r="I21" s="38"/>
      <c r="J21" s="39"/>
      <c r="K21" s="59">
        <v>1</v>
      </c>
      <c r="L21" s="60">
        <v>1</v>
      </c>
      <c r="M21" s="60">
        <v>1</v>
      </c>
      <c r="N21" s="60">
        <v>1</v>
      </c>
      <c r="O21" s="60">
        <v>1</v>
      </c>
      <c r="P21" s="61">
        <v>0</v>
      </c>
      <c r="Q21" s="61">
        <v>0</v>
      </c>
      <c r="R21" s="60">
        <v>1</v>
      </c>
      <c r="S21" s="60">
        <v>1</v>
      </c>
      <c r="T21" s="60">
        <v>1</v>
      </c>
      <c r="U21" s="60">
        <v>1</v>
      </c>
      <c r="V21" s="60">
        <v>1</v>
      </c>
      <c r="W21" s="61">
        <v>1</v>
      </c>
      <c r="X21" s="61">
        <v>1</v>
      </c>
      <c r="Y21" s="60">
        <v>1</v>
      </c>
      <c r="Z21" s="60">
        <v>1</v>
      </c>
      <c r="AA21" s="60">
        <v>1</v>
      </c>
      <c r="AB21" s="60">
        <v>1</v>
      </c>
      <c r="AC21" s="60">
        <v>1</v>
      </c>
      <c r="AD21" s="61">
        <v>1</v>
      </c>
      <c r="AE21" s="61">
        <v>1</v>
      </c>
      <c r="AF21" s="60">
        <v>1</v>
      </c>
      <c r="AG21" s="60">
        <v>1</v>
      </c>
      <c r="AH21" s="60">
        <v>1</v>
      </c>
      <c r="AI21" s="60">
        <v>0</v>
      </c>
      <c r="AJ21" s="60">
        <v>0</v>
      </c>
      <c r="AK21" s="61">
        <v>0</v>
      </c>
      <c r="AL21" s="61">
        <v>0</v>
      </c>
      <c r="AM21" s="60">
        <v>0</v>
      </c>
      <c r="AN21" s="60">
        <v>0</v>
      </c>
      <c r="AO21" s="60">
        <v>0</v>
      </c>
      <c r="AP21" s="62">
        <v>0</v>
      </c>
      <c r="OU21" s="50" t="s">
        <v>48</v>
      </c>
    </row>
    <row r="22" ht="8" customHeight="1" spans="1:42" x14ac:dyDescent="0.25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</row>
    <row r="23" ht="16" customHeight="1" spans="1:411" x14ac:dyDescent="0.25">
      <c r="A23" s="34" t="s">
        <v>38</v>
      </c>
      <c r="B23" s="35" t="s">
        <v>49</v>
      </c>
      <c r="C23" s="36">
        <f>J23</f>
        <v>33109.96000000001</v>
      </c>
      <c r="D23" s="37"/>
      <c r="E23" s="37"/>
      <c r="F23" s="38">
        <f>SUM(K26:AP26)</f>
        <v>212</v>
      </c>
      <c r="G23" s="38">
        <f>SUM(K27:AP27)</f>
        <v>44</v>
      </c>
      <c r="H23" s="38">
        <f>SUM(K28:AP28)</f>
        <v>24</v>
      </c>
      <c r="I23" s="38">
        <f>SUM(K29:AP29)</f>
        <v>22</v>
      </c>
      <c r="J23" s="39">
        <f>C26+C27+C28</f>
        <v>33109.96000000001</v>
      </c>
      <c r="K23" s="40"/>
      <c r="L23" s="41"/>
      <c r="M23" s="41"/>
      <c r="N23" s="41"/>
      <c r="O23" s="41"/>
      <c r="P23" s="42"/>
      <c r="Q23" s="42"/>
      <c r="R23" s="41"/>
      <c r="S23" s="41"/>
      <c r="T23" s="41"/>
      <c r="U23" s="41"/>
      <c r="V23" s="41"/>
      <c r="W23" s="42"/>
      <c r="X23" s="42"/>
      <c r="Y23" s="41"/>
      <c r="Z23" s="41"/>
      <c r="AA23" s="41"/>
      <c r="AB23" s="41"/>
      <c r="AC23" s="41"/>
      <c r="AD23" s="42"/>
      <c r="AE23" s="42"/>
      <c r="AF23" s="41"/>
      <c r="AG23" s="41"/>
      <c r="AH23" s="41"/>
      <c r="AI23" s="41"/>
      <c r="AJ23" s="41"/>
      <c r="AK23" s="42"/>
      <c r="AL23" s="42"/>
      <c r="AM23" s="41"/>
      <c r="AN23" s="41"/>
      <c r="AO23" s="41"/>
      <c r="AP23" s="43"/>
      <c r="OU23" s="44" t="s">
        <v>50</v>
      </c>
    </row>
    <row r="24" ht="16" customHeight="1" spans="1:411" x14ac:dyDescent="0.25">
      <c r="A24" s="34"/>
      <c r="B24" s="35"/>
      <c r="C24" s="36"/>
      <c r="D24" s="37"/>
      <c r="E24" s="45" t="s">
        <v>41</v>
      </c>
      <c r="F24" s="38"/>
      <c r="G24" s="38"/>
      <c r="H24" s="38"/>
      <c r="I24" s="38"/>
      <c r="J24" s="39"/>
      <c r="K24" s="46">
        <v>1</v>
      </c>
      <c r="L24" s="47">
        <v>1</v>
      </c>
      <c r="M24" s="47">
        <v>1</v>
      </c>
      <c r="N24" s="47">
        <v>1</v>
      </c>
      <c r="O24" s="47">
        <v>1</v>
      </c>
      <c r="P24" s="48">
        <v>0</v>
      </c>
      <c r="Q24" s="48">
        <v>0</v>
      </c>
      <c r="R24" s="47">
        <v>1</v>
      </c>
      <c r="S24" s="47">
        <v>1</v>
      </c>
      <c r="T24" s="47">
        <v>1</v>
      </c>
      <c r="U24" s="47">
        <v>1</v>
      </c>
      <c r="V24" s="47">
        <v>1</v>
      </c>
      <c r="W24" s="48">
        <v>1</v>
      </c>
      <c r="X24" s="48">
        <v>1</v>
      </c>
      <c r="Y24" s="47">
        <v>1</v>
      </c>
      <c r="Z24" s="47">
        <v>1</v>
      </c>
      <c r="AA24" s="47">
        <v>1</v>
      </c>
      <c r="AB24" s="47">
        <v>1</v>
      </c>
      <c r="AC24" s="47">
        <v>1</v>
      </c>
      <c r="AD24" s="48">
        <v>1</v>
      </c>
      <c r="AE24" s="48">
        <v>1</v>
      </c>
      <c r="AF24" s="47">
        <v>1</v>
      </c>
      <c r="AG24" s="47">
        <v>1</v>
      </c>
      <c r="AH24" s="47">
        <v>1</v>
      </c>
      <c r="AI24" s="47">
        <v>1</v>
      </c>
      <c r="AJ24" s="47">
        <v>1</v>
      </c>
      <c r="AK24" s="48">
        <v>0</v>
      </c>
      <c r="AL24" s="48">
        <v>0</v>
      </c>
      <c r="AM24" s="47">
        <v>1</v>
      </c>
      <c r="AN24" s="47">
        <v>1</v>
      </c>
      <c r="AO24" s="47">
        <v>1</v>
      </c>
      <c r="AP24" s="49">
        <v>1</v>
      </c>
      <c r="OU24" s="50" t="s">
        <v>50</v>
      </c>
    </row>
    <row r="25" ht="16" customHeight="1" spans="1:411" x14ac:dyDescent="0.25">
      <c r="A25" s="34"/>
      <c r="B25" s="35"/>
      <c r="C25" s="36"/>
      <c r="D25" s="37"/>
      <c r="E25" s="45" t="s">
        <v>42</v>
      </c>
      <c r="F25" s="38"/>
      <c r="G25" s="38"/>
      <c r="H25" s="38"/>
      <c r="I25" s="38"/>
      <c r="J25" s="39"/>
      <c r="K25" s="46">
        <v>8</v>
      </c>
      <c r="L25" s="47">
        <v>8</v>
      </c>
      <c r="M25" s="47">
        <v>8</v>
      </c>
      <c r="N25" s="47">
        <v>8</v>
      </c>
      <c r="O25" s="47">
        <v>8</v>
      </c>
      <c r="P25" s="48">
        <v>0</v>
      </c>
      <c r="Q25" s="48">
        <v>0</v>
      </c>
      <c r="R25" s="47">
        <v>8</v>
      </c>
      <c r="S25" s="47">
        <v>8</v>
      </c>
      <c r="T25" s="47">
        <v>8</v>
      </c>
      <c r="U25" s="47">
        <v>12</v>
      </c>
      <c r="V25" s="47">
        <v>12</v>
      </c>
      <c r="W25" s="48">
        <v>12</v>
      </c>
      <c r="X25" s="48">
        <v>12</v>
      </c>
      <c r="Y25" s="47">
        <v>12</v>
      </c>
      <c r="Z25" s="47">
        <v>12</v>
      </c>
      <c r="AA25" s="47">
        <v>12</v>
      </c>
      <c r="AB25" s="47">
        <v>12</v>
      </c>
      <c r="AC25" s="47">
        <v>12</v>
      </c>
      <c r="AD25" s="48">
        <v>12</v>
      </c>
      <c r="AE25" s="48">
        <v>12</v>
      </c>
      <c r="AF25" s="47">
        <v>12</v>
      </c>
      <c r="AG25" s="47">
        <v>12</v>
      </c>
      <c r="AH25" s="47">
        <v>12</v>
      </c>
      <c r="AI25" s="47">
        <v>8</v>
      </c>
      <c r="AJ25" s="47">
        <v>8</v>
      </c>
      <c r="AK25" s="48">
        <v>0</v>
      </c>
      <c r="AL25" s="48">
        <v>0</v>
      </c>
      <c r="AM25" s="47">
        <v>8</v>
      </c>
      <c r="AN25" s="47">
        <v>8</v>
      </c>
      <c r="AO25" s="47">
        <v>8</v>
      </c>
      <c r="AP25" s="49">
        <v>8</v>
      </c>
      <c r="OU25" s="50" t="s">
        <v>50</v>
      </c>
    </row>
    <row r="26" ht="16" customHeight="1" spans="1:411" x14ac:dyDescent="0.25">
      <c r="A26" s="34"/>
      <c r="B26" s="35"/>
      <c r="C26" s="51">
        <f>F23*D26</f>
        <v>22421.120000000003</v>
      </c>
      <c r="D26" s="51">
        <f>'Rate Tables'!C8</f>
        <v>105.76</v>
      </c>
      <c r="E26" s="45" t="s">
        <v>43</v>
      </c>
      <c r="F26" s="38"/>
      <c r="G26" s="38"/>
      <c r="H26" s="38"/>
      <c r="I26" s="38"/>
      <c r="J26" s="39"/>
      <c r="K26" s="52">
        <v>8</v>
      </c>
      <c r="L26" s="53">
        <v>8</v>
      </c>
      <c r="M26" s="53">
        <v>8</v>
      </c>
      <c r="N26" s="53">
        <v>8</v>
      </c>
      <c r="O26" s="53">
        <v>8</v>
      </c>
      <c r="P26" s="54">
        <v>0</v>
      </c>
      <c r="Q26" s="54">
        <v>0</v>
      </c>
      <c r="R26" s="53">
        <v>8</v>
      </c>
      <c r="S26" s="53">
        <v>8</v>
      </c>
      <c r="T26" s="53">
        <v>8</v>
      </c>
      <c r="U26" s="53">
        <v>10</v>
      </c>
      <c r="V26" s="53">
        <v>10</v>
      </c>
      <c r="W26" s="54">
        <v>10</v>
      </c>
      <c r="X26" s="54">
        <v>0</v>
      </c>
      <c r="Y26" s="53">
        <v>10</v>
      </c>
      <c r="Z26" s="53">
        <v>10</v>
      </c>
      <c r="AA26" s="53">
        <v>10</v>
      </c>
      <c r="AB26" s="53">
        <v>10</v>
      </c>
      <c r="AC26" s="53">
        <v>0</v>
      </c>
      <c r="AD26" s="54">
        <v>0</v>
      </c>
      <c r="AE26" s="54">
        <v>0</v>
      </c>
      <c r="AF26" s="53">
        <v>10</v>
      </c>
      <c r="AG26" s="53">
        <v>10</v>
      </c>
      <c r="AH26" s="53">
        <v>10</v>
      </c>
      <c r="AI26" s="53">
        <v>8</v>
      </c>
      <c r="AJ26" s="53">
        <v>8</v>
      </c>
      <c r="AK26" s="54">
        <v>0</v>
      </c>
      <c r="AL26" s="54">
        <v>0</v>
      </c>
      <c r="AM26" s="53">
        <v>8</v>
      </c>
      <c r="AN26" s="53">
        <v>8</v>
      </c>
      <c r="AO26" s="53">
        <v>8</v>
      </c>
      <c r="AP26" s="55">
        <v>8</v>
      </c>
      <c r="OU26" s="44" t="s">
        <v>50</v>
      </c>
    </row>
    <row r="27" ht="16" customHeight="1" spans="1:411" x14ac:dyDescent="0.25">
      <c r="A27" s="34"/>
      <c r="B27" s="35"/>
      <c r="C27" s="56">
        <f>G23*D27</f>
        <v>6325.88</v>
      </c>
      <c r="D27" s="56">
        <f>'Rate Tables'!D8</f>
        <v>143.77</v>
      </c>
      <c r="E27" s="45" t="s">
        <v>44</v>
      </c>
      <c r="F27" s="38"/>
      <c r="G27" s="38"/>
      <c r="H27" s="38"/>
      <c r="I27" s="38"/>
      <c r="J27" s="39"/>
      <c r="K27" s="52">
        <v>0</v>
      </c>
      <c r="L27" s="53">
        <v>0</v>
      </c>
      <c r="M27" s="53">
        <v>0</v>
      </c>
      <c r="N27" s="53">
        <v>0</v>
      </c>
      <c r="O27" s="53">
        <v>0</v>
      </c>
      <c r="P27" s="54">
        <v>0</v>
      </c>
      <c r="Q27" s="54">
        <v>0</v>
      </c>
      <c r="R27" s="53">
        <v>0</v>
      </c>
      <c r="S27" s="53">
        <v>0</v>
      </c>
      <c r="T27" s="53">
        <v>0</v>
      </c>
      <c r="U27" s="53">
        <v>2</v>
      </c>
      <c r="V27" s="53">
        <v>2</v>
      </c>
      <c r="W27" s="54">
        <v>2</v>
      </c>
      <c r="X27" s="54">
        <v>0</v>
      </c>
      <c r="Y27" s="53">
        <v>2</v>
      </c>
      <c r="Z27" s="53">
        <v>2</v>
      </c>
      <c r="AA27" s="53">
        <v>2</v>
      </c>
      <c r="AB27" s="53">
        <v>2</v>
      </c>
      <c r="AC27" s="53">
        <v>12</v>
      </c>
      <c r="AD27" s="54">
        <v>12</v>
      </c>
      <c r="AE27" s="54">
        <v>0</v>
      </c>
      <c r="AF27" s="53">
        <v>2</v>
      </c>
      <c r="AG27" s="53">
        <v>2</v>
      </c>
      <c r="AH27" s="53">
        <v>2</v>
      </c>
      <c r="AI27" s="53">
        <v>0</v>
      </c>
      <c r="AJ27" s="53">
        <v>0</v>
      </c>
      <c r="AK27" s="54">
        <v>0</v>
      </c>
      <c r="AL27" s="54">
        <v>0</v>
      </c>
      <c r="AM27" s="53">
        <v>0</v>
      </c>
      <c r="AN27" s="53">
        <v>0</v>
      </c>
      <c r="AO27" s="53">
        <v>0</v>
      </c>
      <c r="AP27" s="55">
        <v>0</v>
      </c>
      <c r="OU27" s="44" t="s">
        <v>50</v>
      </c>
    </row>
    <row r="28" ht="16" customHeight="1" spans="1:411" x14ac:dyDescent="0.25">
      <c r="A28" s="34"/>
      <c r="B28" s="35"/>
      <c r="C28" s="51">
        <f>H23*D28</f>
        <v>4362.96</v>
      </c>
      <c r="D28" s="51">
        <f>'Rate Tables'!E8</f>
        <v>181.79</v>
      </c>
      <c r="E28" s="45" t="s">
        <v>45</v>
      </c>
      <c r="F28" s="38"/>
      <c r="G28" s="38"/>
      <c r="H28" s="38"/>
      <c r="I28" s="38"/>
      <c r="J28" s="39"/>
      <c r="K28" s="52">
        <v>0</v>
      </c>
      <c r="L28" s="53">
        <v>0</v>
      </c>
      <c r="M28" s="53">
        <v>0</v>
      </c>
      <c r="N28" s="53">
        <v>0</v>
      </c>
      <c r="O28" s="53">
        <v>0</v>
      </c>
      <c r="P28" s="54">
        <v>0</v>
      </c>
      <c r="Q28" s="54">
        <v>0</v>
      </c>
      <c r="R28" s="53">
        <v>0</v>
      </c>
      <c r="S28" s="53">
        <v>0</v>
      </c>
      <c r="T28" s="53">
        <v>0</v>
      </c>
      <c r="U28" s="53">
        <v>0</v>
      </c>
      <c r="V28" s="53">
        <v>0</v>
      </c>
      <c r="W28" s="54">
        <v>0</v>
      </c>
      <c r="X28" s="54">
        <v>12</v>
      </c>
      <c r="Y28" s="53">
        <v>0</v>
      </c>
      <c r="Z28" s="53">
        <v>0</v>
      </c>
      <c r="AA28" s="53">
        <v>0</v>
      </c>
      <c r="AB28" s="53">
        <v>0</v>
      </c>
      <c r="AC28" s="53">
        <v>0</v>
      </c>
      <c r="AD28" s="54">
        <v>0</v>
      </c>
      <c r="AE28" s="54">
        <v>12</v>
      </c>
      <c r="AF28" s="53">
        <v>0</v>
      </c>
      <c r="AG28" s="53">
        <v>0</v>
      </c>
      <c r="AH28" s="53">
        <v>0</v>
      </c>
      <c r="AI28" s="53">
        <v>0</v>
      </c>
      <c r="AJ28" s="53">
        <v>0</v>
      </c>
      <c r="AK28" s="54">
        <v>0</v>
      </c>
      <c r="AL28" s="54">
        <v>0</v>
      </c>
      <c r="AM28" s="53">
        <v>0</v>
      </c>
      <c r="AN28" s="53">
        <v>0</v>
      </c>
      <c r="AO28" s="53">
        <v>0</v>
      </c>
      <c r="AP28" s="55">
        <v>0</v>
      </c>
      <c r="OU28" s="44" t="s">
        <v>50</v>
      </c>
    </row>
    <row r="29" ht="16" customHeight="1" spans="1:411" x14ac:dyDescent="0.25">
      <c r="A29" s="34"/>
      <c r="B29" s="35"/>
      <c r="C29" s="57">
        <f>I23*D29</f>
        <v>3080</v>
      </c>
      <c r="D29" s="57">
        <v>140</v>
      </c>
      <c r="E29" s="58" t="s">
        <v>46</v>
      </c>
      <c r="F29" s="38"/>
      <c r="G29" s="38"/>
      <c r="H29" s="38"/>
      <c r="I29" s="38"/>
      <c r="J29" s="39"/>
      <c r="K29" s="59">
        <v>1</v>
      </c>
      <c r="L29" s="60">
        <v>1</v>
      </c>
      <c r="M29" s="60">
        <v>1</v>
      </c>
      <c r="N29" s="60">
        <v>1</v>
      </c>
      <c r="O29" s="60">
        <v>1</v>
      </c>
      <c r="P29" s="61">
        <v>0</v>
      </c>
      <c r="Q29" s="61">
        <v>0</v>
      </c>
      <c r="R29" s="60">
        <v>1</v>
      </c>
      <c r="S29" s="60">
        <v>1</v>
      </c>
      <c r="T29" s="60">
        <v>1</v>
      </c>
      <c r="U29" s="60">
        <v>1</v>
      </c>
      <c r="V29" s="60">
        <v>1</v>
      </c>
      <c r="W29" s="61">
        <v>1</v>
      </c>
      <c r="X29" s="61">
        <v>1</v>
      </c>
      <c r="Y29" s="60">
        <v>1</v>
      </c>
      <c r="Z29" s="60">
        <v>1</v>
      </c>
      <c r="AA29" s="60">
        <v>1</v>
      </c>
      <c r="AB29" s="60">
        <v>1</v>
      </c>
      <c r="AC29" s="60">
        <v>1</v>
      </c>
      <c r="AD29" s="61">
        <v>1</v>
      </c>
      <c r="AE29" s="61">
        <v>1</v>
      </c>
      <c r="AF29" s="60">
        <v>1</v>
      </c>
      <c r="AG29" s="60">
        <v>1</v>
      </c>
      <c r="AH29" s="60">
        <v>1</v>
      </c>
      <c r="AI29" s="60">
        <v>0</v>
      </c>
      <c r="AJ29" s="60">
        <v>0</v>
      </c>
      <c r="AK29" s="61">
        <v>0</v>
      </c>
      <c r="AL29" s="61">
        <v>0</v>
      </c>
      <c r="AM29" s="60">
        <v>0</v>
      </c>
      <c r="AN29" s="60">
        <v>0</v>
      </c>
      <c r="AO29" s="60">
        <v>0</v>
      </c>
      <c r="AP29" s="62">
        <v>0</v>
      </c>
      <c r="OU29" s="50" t="s">
        <v>50</v>
      </c>
    </row>
    <row r="30" ht="8" customHeight="1" spans="1:42" x14ac:dyDescent="0.25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</row>
    <row r="31" ht="16" customHeight="1" spans="1:411" x14ac:dyDescent="0.25">
      <c r="A31" s="64" t="s">
        <v>47</v>
      </c>
      <c r="B31" s="35" t="s">
        <v>49</v>
      </c>
      <c r="C31" s="36">
        <f>J31</f>
        <v>28033.48</v>
      </c>
      <c r="D31" s="37"/>
      <c r="E31" s="37"/>
      <c r="F31" s="38">
        <f>SUM(K34:AP34)</f>
        <v>164</v>
      </c>
      <c r="G31" s="38">
        <f>SUM(K35:AP35)</f>
        <v>44</v>
      </c>
      <c r="H31" s="38">
        <f>SUM(K36:AP36)</f>
        <v>24</v>
      </c>
      <c r="I31" s="38">
        <f>SUM(K37:AP37)</f>
        <v>22</v>
      </c>
      <c r="J31" s="39">
        <f>C34+C35+C36</f>
        <v>28033.48</v>
      </c>
      <c r="K31" s="40"/>
      <c r="L31" s="41"/>
      <c r="M31" s="41"/>
      <c r="N31" s="41"/>
      <c r="O31" s="41"/>
      <c r="P31" s="42"/>
      <c r="Q31" s="42"/>
      <c r="R31" s="41"/>
      <c r="S31" s="41"/>
      <c r="T31" s="41"/>
      <c r="U31" s="41"/>
      <c r="V31" s="41"/>
      <c r="W31" s="42"/>
      <c r="X31" s="42"/>
      <c r="Y31" s="41"/>
      <c r="Z31" s="41"/>
      <c r="AA31" s="41"/>
      <c r="AB31" s="41"/>
      <c r="AC31" s="41"/>
      <c r="AD31" s="42"/>
      <c r="AE31" s="42"/>
      <c r="AF31" s="41"/>
      <c r="AG31" s="41"/>
      <c r="AH31" s="41"/>
      <c r="AI31" s="41"/>
      <c r="AJ31" s="41"/>
      <c r="AK31" s="42"/>
      <c r="AL31" s="42"/>
      <c r="AM31" s="41"/>
      <c r="AN31" s="41"/>
      <c r="AO31" s="41"/>
      <c r="AP31" s="43"/>
      <c r="OU31" s="44" t="s">
        <v>51</v>
      </c>
    </row>
    <row r="32" ht="16" customHeight="1" spans="1:411" x14ac:dyDescent="0.25">
      <c r="A32" s="64"/>
      <c r="B32" s="35"/>
      <c r="C32" s="36"/>
      <c r="D32" s="37"/>
      <c r="E32" s="45" t="s">
        <v>41</v>
      </c>
      <c r="F32" s="38"/>
      <c r="G32" s="38"/>
      <c r="H32" s="38"/>
      <c r="I32" s="38"/>
      <c r="J32" s="39"/>
      <c r="K32" s="46">
        <v>1</v>
      </c>
      <c r="L32" s="47">
        <v>1</v>
      </c>
      <c r="M32" s="47">
        <v>1</v>
      </c>
      <c r="N32" s="47">
        <v>1</v>
      </c>
      <c r="O32" s="47">
        <v>1</v>
      </c>
      <c r="P32" s="48">
        <v>0</v>
      </c>
      <c r="Q32" s="48">
        <v>0</v>
      </c>
      <c r="R32" s="47">
        <v>1</v>
      </c>
      <c r="S32" s="47">
        <v>1</v>
      </c>
      <c r="T32" s="47">
        <v>1</v>
      </c>
      <c r="U32" s="47">
        <v>1</v>
      </c>
      <c r="V32" s="47">
        <v>1</v>
      </c>
      <c r="W32" s="48">
        <v>1</v>
      </c>
      <c r="X32" s="48">
        <v>1</v>
      </c>
      <c r="Y32" s="47">
        <v>1</v>
      </c>
      <c r="Z32" s="47">
        <v>1</v>
      </c>
      <c r="AA32" s="47">
        <v>1</v>
      </c>
      <c r="AB32" s="47">
        <v>1</v>
      </c>
      <c r="AC32" s="47">
        <v>1</v>
      </c>
      <c r="AD32" s="48">
        <v>1</v>
      </c>
      <c r="AE32" s="48">
        <v>1</v>
      </c>
      <c r="AF32" s="47">
        <v>1</v>
      </c>
      <c r="AG32" s="47">
        <v>1</v>
      </c>
      <c r="AH32" s="47">
        <v>1</v>
      </c>
      <c r="AI32" s="47">
        <v>0</v>
      </c>
      <c r="AJ32" s="47">
        <v>0</v>
      </c>
      <c r="AK32" s="48">
        <v>0</v>
      </c>
      <c r="AL32" s="48">
        <v>0</v>
      </c>
      <c r="AM32" s="47">
        <v>0</v>
      </c>
      <c r="AN32" s="47">
        <v>0</v>
      </c>
      <c r="AO32" s="47">
        <v>0</v>
      </c>
      <c r="AP32" s="49">
        <v>0</v>
      </c>
      <c r="OU32" s="50" t="s">
        <v>51</v>
      </c>
    </row>
    <row r="33" ht="16" customHeight="1" spans="1:411" x14ac:dyDescent="0.25">
      <c r="A33" s="64"/>
      <c r="B33" s="35"/>
      <c r="C33" s="36"/>
      <c r="D33" s="37"/>
      <c r="E33" s="45" t="s">
        <v>42</v>
      </c>
      <c r="F33" s="38"/>
      <c r="G33" s="38"/>
      <c r="H33" s="38"/>
      <c r="I33" s="38"/>
      <c r="J33" s="39"/>
      <c r="K33" s="46">
        <v>8</v>
      </c>
      <c r="L33" s="47">
        <v>8</v>
      </c>
      <c r="M33" s="47">
        <v>8</v>
      </c>
      <c r="N33" s="47">
        <v>8</v>
      </c>
      <c r="O33" s="47">
        <v>8</v>
      </c>
      <c r="P33" s="48">
        <v>0</v>
      </c>
      <c r="Q33" s="48">
        <v>0</v>
      </c>
      <c r="R33" s="47">
        <v>8</v>
      </c>
      <c r="S33" s="47">
        <v>8</v>
      </c>
      <c r="T33" s="47">
        <v>8</v>
      </c>
      <c r="U33" s="47">
        <v>12</v>
      </c>
      <c r="V33" s="47">
        <v>12</v>
      </c>
      <c r="W33" s="48">
        <v>12</v>
      </c>
      <c r="X33" s="48">
        <v>12</v>
      </c>
      <c r="Y33" s="47">
        <v>12</v>
      </c>
      <c r="Z33" s="47">
        <v>12</v>
      </c>
      <c r="AA33" s="47">
        <v>12</v>
      </c>
      <c r="AB33" s="47">
        <v>12</v>
      </c>
      <c r="AC33" s="47">
        <v>12</v>
      </c>
      <c r="AD33" s="48">
        <v>12</v>
      </c>
      <c r="AE33" s="48">
        <v>12</v>
      </c>
      <c r="AF33" s="47">
        <v>12</v>
      </c>
      <c r="AG33" s="47">
        <v>12</v>
      </c>
      <c r="AH33" s="47">
        <v>12</v>
      </c>
      <c r="AI33" s="47">
        <v>0</v>
      </c>
      <c r="AJ33" s="47">
        <v>0</v>
      </c>
      <c r="AK33" s="48">
        <v>0</v>
      </c>
      <c r="AL33" s="48">
        <v>0</v>
      </c>
      <c r="AM33" s="47">
        <v>0</v>
      </c>
      <c r="AN33" s="47">
        <v>0</v>
      </c>
      <c r="AO33" s="47">
        <v>0</v>
      </c>
      <c r="AP33" s="49">
        <v>0</v>
      </c>
      <c r="OU33" s="50" t="s">
        <v>51</v>
      </c>
    </row>
    <row r="34" ht="16" customHeight="1" spans="1:411" x14ac:dyDescent="0.25">
      <c r="A34" s="64"/>
      <c r="B34" s="35"/>
      <c r="C34" s="51">
        <f>F31*D34</f>
        <v>17344.64</v>
      </c>
      <c r="D34" s="51">
        <f>'Rate Tables'!C8</f>
        <v>105.76</v>
      </c>
      <c r="E34" s="45" t="s">
        <v>43</v>
      </c>
      <c r="F34" s="38"/>
      <c r="G34" s="38"/>
      <c r="H34" s="38"/>
      <c r="I34" s="38"/>
      <c r="J34" s="39"/>
      <c r="K34" s="52">
        <v>8</v>
      </c>
      <c r="L34" s="53">
        <v>8</v>
      </c>
      <c r="M34" s="53">
        <v>8</v>
      </c>
      <c r="N34" s="53">
        <v>8</v>
      </c>
      <c r="O34" s="53">
        <v>8</v>
      </c>
      <c r="P34" s="54">
        <v>0</v>
      </c>
      <c r="Q34" s="54">
        <v>0</v>
      </c>
      <c r="R34" s="53">
        <v>8</v>
      </c>
      <c r="S34" s="53">
        <v>8</v>
      </c>
      <c r="T34" s="53">
        <v>8</v>
      </c>
      <c r="U34" s="53">
        <v>10</v>
      </c>
      <c r="V34" s="53">
        <v>10</v>
      </c>
      <c r="W34" s="54">
        <v>10</v>
      </c>
      <c r="X34" s="54">
        <v>0</v>
      </c>
      <c r="Y34" s="53">
        <v>10</v>
      </c>
      <c r="Z34" s="53">
        <v>10</v>
      </c>
      <c r="AA34" s="53">
        <v>10</v>
      </c>
      <c r="AB34" s="53">
        <v>10</v>
      </c>
      <c r="AC34" s="53">
        <v>0</v>
      </c>
      <c r="AD34" s="54">
        <v>0</v>
      </c>
      <c r="AE34" s="54">
        <v>0</v>
      </c>
      <c r="AF34" s="53">
        <v>10</v>
      </c>
      <c r="AG34" s="53">
        <v>10</v>
      </c>
      <c r="AH34" s="53">
        <v>10</v>
      </c>
      <c r="AI34" s="53">
        <v>0</v>
      </c>
      <c r="AJ34" s="53">
        <v>0</v>
      </c>
      <c r="AK34" s="54">
        <v>0</v>
      </c>
      <c r="AL34" s="54">
        <v>0</v>
      </c>
      <c r="AM34" s="53">
        <v>0</v>
      </c>
      <c r="AN34" s="53">
        <v>0</v>
      </c>
      <c r="AO34" s="53">
        <v>0</v>
      </c>
      <c r="AP34" s="55">
        <v>0</v>
      </c>
      <c r="OU34" s="44" t="s">
        <v>51</v>
      </c>
    </row>
    <row r="35" ht="16" customHeight="1" spans="1:411" x14ac:dyDescent="0.25">
      <c r="A35" s="64"/>
      <c r="B35" s="35"/>
      <c r="C35" s="56">
        <f>G31*D35</f>
        <v>6325.88</v>
      </c>
      <c r="D35" s="56">
        <f>'Rate Tables'!D8</f>
        <v>143.77</v>
      </c>
      <c r="E35" s="45" t="s">
        <v>44</v>
      </c>
      <c r="F35" s="38"/>
      <c r="G35" s="38"/>
      <c r="H35" s="38"/>
      <c r="I35" s="38"/>
      <c r="J35" s="39"/>
      <c r="K35" s="52">
        <v>0</v>
      </c>
      <c r="L35" s="53">
        <v>0</v>
      </c>
      <c r="M35" s="53">
        <v>0</v>
      </c>
      <c r="N35" s="53">
        <v>0</v>
      </c>
      <c r="O35" s="53">
        <v>0</v>
      </c>
      <c r="P35" s="54">
        <v>0</v>
      </c>
      <c r="Q35" s="54">
        <v>0</v>
      </c>
      <c r="R35" s="53">
        <v>0</v>
      </c>
      <c r="S35" s="53">
        <v>0</v>
      </c>
      <c r="T35" s="53">
        <v>0</v>
      </c>
      <c r="U35" s="53">
        <v>2</v>
      </c>
      <c r="V35" s="53">
        <v>2</v>
      </c>
      <c r="W35" s="54">
        <v>2</v>
      </c>
      <c r="X35" s="54">
        <v>0</v>
      </c>
      <c r="Y35" s="53">
        <v>2</v>
      </c>
      <c r="Z35" s="53">
        <v>2</v>
      </c>
      <c r="AA35" s="53">
        <v>2</v>
      </c>
      <c r="AB35" s="53">
        <v>2</v>
      </c>
      <c r="AC35" s="53">
        <v>12</v>
      </c>
      <c r="AD35" s="54">
        <v>12</v>
      </c>
      <c r="AE35" s="54">
        <v>0</v>
      </c>
      <c r="AF35" s="53">
        <v>2</v>
      </c>
      <c r="AG35" s="53">
        <v>2</v>
      </c>
      <c r="AH35" s="53">
        <v>2</v>
      </c>
      <c r="AI35" s="53">
        <v>0</v>
      </c>
      <c r="AJ35" s="53">
        <v>0</v>
      </c>
      <c r="AK35" s="54">
        <v>0</v>
      </c>
      <c r="AL35" s="54">
        <v>0</v>
      </c>
      <c r="AM35" s="53">
        <v>0</v>
      </c>
      <c r="AN35" s="53">
        <v>0</v>
      </c>
      <c r="AO35" s="53">
        <v>0</v>
      </c>
      <c r="AP35" s="55">
        <v>0</v>
      </c>
      <c r="OU35" s="44" t="s">
        <v>51</v>
      </c>
    </row>
    <row r="36" ht="16" customHeight="1" spans="1:411" x14ac:dyDescent="0.25">
      <c r="A36" s="64"/>
      <c r="B36" s="35"/>
      <c r="C36" s="51">
        <f>H31*D36</f>
        <v>4362.96</v>
      </c>
      <c r="D36" s="51">
        <f>'Rate Tables'!E8</f>
        <v>181.79</v>
      </c>
      <c r="E36" s="45" t="s">
        <v>45</v>
      </c>
      <c r="F36" s="38"/>
      <c r="G36" s="38"/>
      <c r="H36" s="38"/>
      <c r="I36" s="38"/>
      <c r="J36" s="39"/>
      <c r="K36" s="52">
        <v>0</v>
      </c>
      <c r="L36" s="53">
        <v>0</v>
      </c>
      <c r="M36" s="53">
        <v>0</v>
      </c>
      <c r="N36" s="53">
        <v>0</v>
      </c>
      <c r="O36" s="53">
        <v>0</v>
      </c>
      <c r="P36" s="54">
        <v>0</v>
      </c>
      <c r="Q36" s="54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54">
        <v>0</v>
      </c>
      <c r="X36" s="54">
        <v>12</v>
      </c>
      <c r="Y36" s="53">
        <v>0</v>
      </c>
      <c r="Z36" s="53">
        <v>0</v>
      </c>
      <c r="AA36" s="53">
        <v>0</v>
      </c>
      <c r="AB36" s="53">
        <v>0</v>
      </c>
      <c r="AC36" s="53">
        <v>0</v>
      </c>
      <c r="AD36" s="54">
        <v>0</v>
      </c>
      <c r="AE36" s="54">
        <v>12</v>
      </c>
      <c r="AF36" s="53">
        <v>0</v>
      </c>
      <c r="AG36" s="53">
        <v>0</v>
      </c>
      <c r="AH36" s="53">
        <v>0</v>
      </c>
      <c r="AI36" s="53">
        <v>0</v>
      </c>
      <c r="AJ36" s="53">
        <v>0</v>
      </c>
      <c r="AK36" s="54">
        <v>0</v>
      </c>
      <c r="AL36" s="54">
        <v>0</v>
      </c>
      <c r="AM36" s="53">
        <v>0</v>
      </c>
      <c r="AN36" s="53">
        <v>0</v>
      </c>
      <c r="AO36" s="53">
        <v>0</v>
      </c>
      <c r="AP36" s="55">
        <v>0</v>
      </c>
      <c r="OU36" s="44" t="s">
        <v>51</v>
      </c>
    </row>
    <row r="37" ht="16" customHeight="1" spans="1:411" x14ac:dyDescent="0.25">
      <c r="A37" s="64"/>
      <c r="B37" s="35"/>
      <c r="C37" s="57">
        <f>I31*D37</f>
        <v>3080</v>
      </c>
      <c r="D37" s="57">
        <v>140</v>
      </c>
      <c r="E37" s="58" t="s">
        <v>46</v>
      </c>
      <c r="F37" s="38"/>
      <c r="G37" s="38"/>
      <c r="H37" s="38"/>
      <c r="I37" s="38"/>
      <c r="J37" s="39"/>
      <c r="K37" s="59">
        <v>1</v>
      </c>
      <c r="L37" s="60">
        <v>1</v>
      </c>
      <c r="M37" s="60">
        <v>1</v>
      </c>
      <c r="N37" s="60">
        <v>1</v>
      </c>
      <c r="O37" s="60">
        <v>1</v>
      </c>
      <c r="P37" s="61">
        <v>0</v>
      </c>
      <c r="Q37" s="61">
        <v>0</v>
      </c>
      <c r="R37" s="60">
        <v>1</v>
      </c>
      <c r="S37" s="60">
        <v>1</v>
      </c>
      <c r="T37" s="60">
        <v>1</v>
      </c>
      <c r="U37" s="60">
        <v>1</v>
      </c>
      <c r="V37" s="60">
        <v>1</v>
      </c>
      <c r="W37" s="61">
        <v>1</v>
      </c>
      <c r="X37" s="61">
        <v>1</v>
      </c>
      <c r="Y37" s="60">
        <v>1</v>
      </c>
      <c r="Z37" s="60">
        <v>1</v>
      </c>
      <c r="AA37" s="60">
        <v>1</v>
      </c>
      <c r="AB37" s="60">
        <v>1</v>
      </c>
      <c r="AC37" s="60">
        <v>1</v>
      </c>
      <c r="AD37" s="61">
        <v>1</v>
      </c>
      <c r="AE37" s="61">
        <v>1</v>
      </c>
      <c r="AF37" s="60">
        <v>1</v>
      </c>
      <c r="AG37" s="60">
        <v>1</v>
      </c>
      <c r="AH37" s="60">
        <v>1</v>
      </c>
      <c r="AI37" s="60">
        <v>0</v>
      </c>
      <c r="AJ37" s="60">
        <v>0</v>
      </c>
      <c r="AK37" s="61">
        <v>0</v>
      </c>
      <c r="AL37" s="61">
        <v>0</v>
      </c>
      <c r="AM37" s="60">
        <v>0</v>
      </c>
      <c r="AN37" s="60">
        <v>0</v>
      </c>
      <c r="AO37" s="60">
        <v>0</v>
      </c>
      <c r="AP37" s="62">
        <v>0</v>
      </c>
      <c r="OU37" s="50" t="s">
        <v>51</v>
      </c>
    </row>
    <row r="38" ht="8" customHeight="1" spans="1:42" x14ac:dyDescent="0.25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</row>
    <row r="39" ht="16" customHeight="1" spans="1:411" x14ac:dyDescent="0.25">
      <c r="A39" s="34" t="s">
        <v>38</v>
      </c>
      <c r="B39" s="35" t="s">
        <v>52</v>
      </c>
      <c r="C39" s="36">
        <f>J39</f>
        <v>28354.399999999998</v>
      </c>
      <c r="D39" s="37"/>
      <c r="E39" s="37"/>
      <c r="F39" s="38">
        <f>SUM(K42:AP42)</f>
        <v>212</v>
      </c>
      <c r="G39" s="38">
        <f>SUM(K43:AP43)</f>
        <v>44</v>
      </c>
      <c r="H39" s="38">
        <f>SUM(K44:AP44)</f>
        <v>24</v>
      </c>
      <c r="I39" s="38">
        <f>SUM(K45:AP45)</f>
        <v>22</v>
      </c>
      <c r="J39" s="39">
        <f>C42+C43+C44</f>
        <v>28354.399999999998</v>
      </c>
      <c r="K39" s="40"/>
      <c r="L39" s="41"/>
      <c r="M39" s="41"/>
      <c r="N39" s="41"/>
      <c r="O39" s="41"/>
      <c r="P39" s="42"/>
      <c r="Q39" s="42"/>
      <c r="R39" s="41"/>
      <c r="S39" s="41"/>
      <c r="T39" s="41"/>
      <c r="U39" s="41"/>
      <c r="V39" s="41"/>
      <c r="W39" s="42"/>
      <c r="X39" s="42"/>
      <c r="Y39" s="41"/>
      <c r="Z39" s="41"/>
      <c r="AA39" s="41"/>
      <c r="AB39" s="41"/>
      <c r="AC39" s="41"/>
      <c r="AD39" s="42"/>
      <c r="AE39" s="42"/>
      <c r="AF39" s="41"/>
      <c r="AG39" s="41"/>
      <c r="AH39" s="41"/>
      <c r="AI39" s="41"/>
      <c r="AJ39" s="41"/>
      <c r="AK39" s="42"/>
      <c r="AL39" s="42"/>
      <c r="AM39" s="41"/>
      <c r="AN39" s="41"/>
      <c r="AO39" s="41"/>
      <c r="AP39" s="43"/>
      <c r="OU39" s="44" t="s">
        <v>53</v>
      </c>
    </row>
    <row r="40" ht="16" customHeight="1" spans="1:411" x14ac:dyDescent="0.25">
      <c r="A40" s="34"/>
      <c r="B40" s="35"/>
      <c r="C40" s="36"/>
      <c r="D40" s="37"/>
      <c r="E40" s="45" t="s">
        <v>41</v>
      </c>
      <c r="F40" s="38"/>
      <c r="G40" s="38"/>
      <c r="H40" s="38"/>
      <c r="I40" s="38"/>
      <c r="J40" s="39"/>
      <c r="K40" s="46">
        <v>1</v>
      </c>
      <c r="L40" s="47">
        <v>1</v>
      </c>
      <c r="M40" s="47">
        <v>1</v>
      </c>
      <c r="N40" s="47">
        <v>1</v>
      </c>
      <c r="O40" s="47">
        <v>1</v>
      </c>
      <c r="P40" s="48">
        <v>0</v>
      </c>
      <c r="Q40" s="48">
        <v>0</v>
      </c>
      <c r="R40" s="47">
        <v>1</v>
      </c>
      <c r="S40" s="47">
        <v>1</v>
      </c>
      <c r="T40" s="47">
        <v>1</v>
      </c>
      <c r="U40" s="47">
        <v>1</v>
      </c>
      <c r="V40" s="47">
        <v>1</v>
      </c>
      <c r="W40" s="48">
        <v>1</v>
      </c>
      <c r="X40" s="48">
        <v>1</v>
      </c>
      <c r="Y40" s="47">
        <v>1</v>
      </c>
      <c r="Z40" s="47">
        <v>1</v>
      </c>
      <c r="AA40" s="47">
        <v>1</v>
      </c>
      <c r="AB40" s="47">
        <v>1</v>
      </c>
      <c r="AC40" s="47">
        <v>1</v>
      </c>
      <c r="AD40" s="48">
        <v>1</v>
      </c>
      <c r="AE40" s="48">
        <v>1</v>
      </c>
      <c r="AF40" s="47">
        <v>1</v>
      </c>
      <c r="AG40" s="47">
        <v>1</v>
      </c>
      <c r="AH40" s="47">
        <v>1</v>
      </c>
      <c r="AI40" s="47">
        <v>1</v>
      </c>
      <c r="AJ40" s="47">
        <v>1</v>
      </c>
      <c r="AK40" s="48">
        <v>0</v>
      </c>
      <c r="AL40" s="48">
        <v>0</v>
      </c>
      <c r="AM40" s="47">
        <v>1</v>
      </c>
      <c r="AN40" s="47">
        <v>1</v>
      </c>
      <c r="AO40" s="47">
        <v>1</v>
      </c>
      <c r="AP40" s="49">
        <v>1</v>
      </c>
      <c r="OU40" s="50" t="s">
        <v>53</v>
      </c>
    </row>
    <row r="41" ht="16" customHeight="1" spans="1:411" x14ac:dyDescent="0.25">
      <c r="A41" s="34"/>
      <c r="B41" s="35"/>
      <c r="C41" s="36"/>
      <c r="D41" s="37"/>
      <c r="E41" s="45" t="s">
        <v>42</v>
      </c>
      <c r="F41" s="38"/>
      <c r="G41" s="38"/>
      <c r="H41" s="38"/>
      <c r="I41" s="38"/>
      <c r="J41" s="39"/>
      <c r="K41" s="46">
        <v>8</v>
      </c>
      <c r="L41" s="47">
        <v>8</v>
      </c>
      <c r="M41" s="47">
        <v>8</v>
      </c>
      <c r="N41" s="47">
        <v>8</v>
      </c>
      <c r="O41" s="47">
        <v>8</v>
      </c>
      <c r="P41" s="48">
        <v>0</v>
      </c>
      <c r="Q41" s="48">
        <v>0</v>
      </c>
      <c r="R41" s="47">
        <v>8</v>
      </c>
      <c r="S41" s="47">
        <v>8</v>
      </c>
      <c r="T41" s="47">
        <v>8</v>
      </c>
      <c r="U41" s="47">
        <v>12</v>
      </c>
      <c r="V41" s="47">
        <v>12</v>
      </c>
      <c r="W41" s="48">
        <v>12</v>
      </c>
      <c r="X41" s="48">
        <v>12</v>
      </c>
      <c r="Y41" s="47">
        <v>12</v>
      </c>
      <c r="Z41" s="47">
        <v>12</v>
      </c>
      <c r="AA41" s="47">
        <v>12</v>
      </c>
      <c r="AB41" s="47">
        <v>12</v>
      </c>
      <c r="AC41" s="47">
        <v>12</v>
      </c>
      <c r="AD41" s="48">
        <v>12</v>
      </c>
      <c r="AE41" s="48">
        <v>12</v>
      </c>
      <c r="AF41" s="47">
        <v>12</v>
      </c>
      <c r="AG41" s="47">
        <v>12</v>
      </c>
      <c r="AH41" s="47">
        <v>12</v>
      </c>
      <c r="AI41" s="47">
        <v>8</v>
      </c>
      <c r="AJ41" s="47">
        <v>8</v>
      </c>
      <c r="AK41" s="48">
        <v>0</v>
      </c>
      <c r="AL41" s="48">
        <v>0</v>
      </c>
      <c r="AM41" s="47">
        <v>8</v>
      </c>
      <c r="AN41" s="47">
        <v>8</v>
      </c>
      <c r="AO41" s="47">
        <v>8</v>
      </c>
      <c r="AP41" s="49">
        <v>8</v>
      </c>
      <c r="OU41" s="50" t="s">
        <v>53</v>
      </c>
    </row>
    <row r="42" ht="16" customHeight="1" spans="1:411" x14ac:dyDescent="0.25">
      <c r="A42" s="34"/>
      <c r="B42" s="35"/>
      <c r="C42" s="51">
        <f>F39*D42</f>
        <v>19296.239999999998</v>
      </c>
      <c r="D42" s="51">
        <f>'Rate Tables'!C9</f>
        <v>91.02</v>
      </c>
      <c r="E42" s="45" t="s">
        <v>43</v>
      </c>
      <c r="F42" s="38"/>
      <c r="G42" s="38"/>
      <c r="H42" s="38"/>
      <c r="I42" s="38"/>
      <c r="J42" s="39"/>
      <c r="K42" s="52">
        <v>8</v>
      </c>
      <c r="L42" s="53">
        <v>8</v>
      </c>
      <c r="M42" s="53">
        <v>8</v>
      </c>
      <c r="N42" s="53">
        <v>8</v>
      </c>
      <c r="O42" s="53">
        <v>8</v>
      </c>
      <c r="P42" s="54">
        <v>0</v>
      </c>
      <c r="Q42" s="54">
        <v>0</v>
      </c>
      <c r="R42" s="53">
        <v>8</v>
      </c>
      <c r="S42" s="53">
        <v>8</v>
      </c>
      <c r="T42" s="53">
        <v>8</v>
      </c>
      <c r="U42" s="53">
        <v>10</v>
      </c>
      <c r="V42" s="53">
        <v>10</v>
      </c>
      <c r="W42" s="54">
        <v>10</v>
      </c>
      <c r="X42" s="54">
        <v>0</v>
      </c>
      <c r="Y42" s="53">
        <v>10</v>
      </c>
      <c r="Z42" s="53">
        <v>10</v>
      </c>
      <c r="AA42" s="53">
        <v>10</v>
      </c>
      <c r="AB42" s="53">
        <v>10</v>
      </c>
      <c r="AC42" s="53">
        <v>0</v>
      </c>
      <c r="AD42" s="54">
        <v>0</v>
      </c>
      <c r="AE42" s="54">
        <v>0</v>
      </c>
      <c r="AF42" s="53">
        <v>10</v>
      </c>
      <c r="AG42" s="53">
        <v>10</v>
      </c>
      <c r="AH42" s="53">
        <v>10</v>
      </c>
      <c r="AI42" s="53">
        <v>8</v>
      </c>
      <c r="AJ42" s="53">
        <v>8</v>
      </c>
      <c r="AK42" s="54">
        <v>0</v>
      </c>
      <c r="AL42" s="54">
        <v>0</v>
      </c>
      <c r="AM42" s="53">
        <v>8</v>
      </c>
      <c r="AN42" s="53">
        <v>8</v>
      </c>
      <c r="AO42" s="53">
        <v>8</v>
      </c>
      <c r="AP42" s="55">
        <v>8</v>
      </c>
      <c r="OU42" s="44" t="s">
        <v>53</v>
      </c>
    </row>
    <row r="43" ht="16" customHeight="1" spans="1:411" x14ac:dyDescent="0.25">
      <c r="A43" s="34"/>
      <c r="B43" s="35"/>
      <c r="C43" s="56">
        <f>G39*D43</f>
        <v>5376.8</v>
      </c>
      <c r="D43" s="56">
        <f>'Rate Tables'!D9</f>
        <v>122.2</v>
      </c>
      <c r="E43" s="45" t="s">
        <v>44</v>
      </c>
      <c r="F43" s="38"/>
      <c r="G43" s="38"/>
      <c r="H43" s="38"/>
      <c r="I43" s="38"/>
      <c r="J43" s="39"/>
      <c r="K43" s="52">
        <v>0</v>
      </c>
      <c r="L43" s="53">
        <v>0</v>
      </c>
      <c r="M43" s="53">
        <v>0</v>
      </c>
      <c r="N43" s="53">
        <v>0</v>
      </c>
      <c r="O43" s="53">
        <v>0</v>
      </c>
      <c r="P43" s="54">
        <v>0</v>
      </c>
      <c r="Q43" s="54">
        <v>0</v>
      </c>
      <c r="R43" s="53">
        <v>0</v>
      </c>
      <c r="S43" s="53">
        <v>0</v>
      </c>
      <c r="T43" s="53">
        <v>0</v>
      </c>
      <c r="U43" s="53">
        <v>2</v>
      </c>
      <c r="V43" s="53">
        <v>2</v>
      </c>
      <c r="W43" s="54">
        <v>2</v>
      </c>
      <c r="X43" s="54">
        <v>0</v>
      </c>
      <c r="Y43" s="53">
        <v>2</v>
      </c>
      <c r="Z43" s="53">
        <v>2</v>
      </c>
      <c r="AA43" s="53">
        <v>2</v>
      </c>
      <c r="AB43" s="53">
        <v>2</v>
      </c>
      <c r="AC43" s="53">
        <v>12</v>
      </c>
      <c r="AD43" s="54">
        <v>12</v>
      </c>
      <c r="AE43" s="54">
        <v>0</v>
      </c>
      <c r="AF43" s="53">
        <v>2</v>
      </c>
      <c r="AG43" s="53">
        <v>2</v>
      </c>
      <c r="AH43" s="53">
        <v>2</v>
      </c>
      <c r="AI43" s="53">
        <v>0</v>
      </c>
      <c r="AJ43" s="53">
        <v>0</v>
      </c>
      <c r="AK43" s="54">
        <v>0</v>
      </c>
      <c r="AL43" s="54">
        <v>0</v>
      </c>
      <c r="AM43" s="53">
        <v>0</v>
      </c>
      <c r="AN43" s="53">
        <v>0</v>
      </c>
      <c r="AO43" s="53">
        <v>0</v>
      </c>
      <c r="AP43" s="55">
        <v>0</v>
      </c>
      <c r="OU43" s="44" t="s">
        <v>53</v>
      </c>
    </row>
    <row r="44" ht="16" customHeight="1" spans="1:411" x14ac:dyDescent="0.25">
      <c r="A44" s="34"/>
      <c r="B44" s="35"/>
      <c r="C44" s="51">
        <f>H39*D44</f>
        <v>3681.3599999999997</v>
      </c>
      <c r="D44" s="51">
        <f>'Rate Tables'!E9</f>
        <v>153.39</v>
      </c>
      <c r="E44" s="45" t="s">
        <v>45</v>
      </c>
      <c r="F44" s="38"/>
      <c r="G44" s="38"/>
      <c r="H44" s="38"/>
      <c r="I44" s="38"/>
      <c r="J44" s="39"/>
      <c r="K44" s="52">
        <v>0</v>
      </c>
      <c r="L44" s="53">
        <v>0</v>
      </c>
      <c r="M44" s="53">
        <v>0</v>
      </c>
      <c r="N44" s="53">
        <v>0</v>
      </c>
      <c r="O44" s="53">
        <v>0</v>
      </c>
      <c r="P44" s="54">
        <v>0</v>
      </c>
      <c r="Q44" s="54">
        <v>0</v>
      </c>
      <c r="R44" s="53">
        <v>0</v>
      </c>
      <c r="S44" s="53">
        <v>0</v>
      </c>
      <c r="T44" s="53">
        <v>0</v>
      </c>
      <c r="U44" s="53">
        <v>0</v>
      </c>
      <c r="V44" s="53">
        <v>0</v>
      </c>
      <c r="W44" s="54">
        <v>0</v>
      </c>
      <c r="X44" s="54">
        <v>12</v>
      </c>
      <c r="Y44" s="53">
        <v>0</v>
      </c>
      <c r="Z44" s="53">
        <v>0</v>
      </c>
      <c r="AA44" s="53">
        <v>0</v>
      </c>
      <c r="AB44" s="53">
        <v>0</v>
      </c>
      <c r="AC44" s="53">
        <v>0</v>
      </c>
      <c r="AD44" s="54">
        <v>0</v>
      </c>
      <c r="AE44" s="54">
        <v>12</v>
      </c>
      <c r="AF44" s="53">
        <v>0</v>
      </c>
      <c r="AG44" s="53">
        <v>0</v>
      </c>
      <c r="AH44" s="53">
        <v>0</v>
      </c>
      <c r="AI44" s="53">
        <v>0</v>
      </c>
      <c r="AJ44" s="53">
        <v>0</v>
      </c>
      <c r="AK44" s="54">
        <v>0</v>
      </c>
      <c r="AL44" s="54">
        <v>0</v>
      </c>
      <c r="AM44" s="53">
        <v>0</v>
      </c>
      <c r="AN44" s="53">
        <v>0</v>
      </c>
      <c r="AO44" s="53">
        <v>0</v>
      </c>
      <c r="AP44" s="55">
        <v>0</v>
      </c>
      <c r="OU44" s="44" t="s">
        <v>53</v>
      </c>
    </row>
    <row r="45" ht="16" customHeight="1" spans="1:411" x14ac:dyDescent="0.25">
      <c r="A45" s="34"/>
      <c r="B45" s="35"/>
      <c r="C45" s="57">
        <f>I39*D45</f>
        <v>3080</v>
      </c>
      <c r="D45" s="57">
        <v>140</v>
      </c>
      <c r="E45" s="58" t="s">
        <v>46</v>
      </c>
      <c r="F45" s="38"/>
      <c r="G45" s="38"/>
      <c r="H45" s="38"/>
      <c r="I45" s="38"/>
      <c r="J45" s="39"/>
      <c r="K45" s="59">
        <v>1</v>
      </c>
      <c r="L45" s="60">
        <v>1</v>
      </c>
      <c r="M45" s="60">
        <v>1</v>
      </c>
      <c r="N45" s="60">
        <v>1</v>
      </c>
      <c r="O45" s="60">
        <v>1</v>
      </c>
      <c r="P45" s="61">
        <v>0</v>
      </c>
      <c r="Q45" s="61">
        <v>0</v>
      </c>
      <c r="R45" s="60">
        <v>1</v>
      </c>
      <c r="S45" s="60">
        <v>1</v>
      </c>
      <c r="T45" s="60">
        <v>1</v>
      </c>
      <c r="U45" s="60">
        <v>1</v>
      </c>
      <c r="V45" s="60">
        <v>1</v>
      </c>
      <c r="W45" s="61">
        <v>1</v>
      </c>
      <c r="X45" s="61">
        <v>1</v>
      </c>
      <c r="Y45" s="60">
        <v>1</v>
      </c>
      <c r="Z45" s="60">
        <v>1</v>
      </c>
      <c r="AA45" s="60">
        <v>1</v>
      </c>
      <c r="AB45" s="60">
        <v>1</v>
      </c>
      <c r="AC45" s="60">
        <v>1</v>
      </c>
      <c r="AD45" s="61">
        <v>1</v>
      </c>
      <c r="AE45" s="61">
        <v>1</v>
      </c>
      <c r="AF45" s="60">
        <v>1</v>
      </c>
      <c r="AG45" s="60">
        <v>1</v>
      </c>
      <c r="AH45" s="60">
        <v>1</v>
      </c>
      <c r="AI45" s="60">
        <v>0</v>
      </c>
      <c r="AJ45" s="60">
        <v>0</v>
      </c>
      <c r="AK45" s="61">
        <v>0</v>
      </c>
      <c r="AL45" s="61">
        <v>0</v>
      </c>
      <c r="AM45" s="60">
        <v>0</v>
      </c>
      <c r="AN45" s="60">
        <v>0</v>
      </c>
      <c r="AO45" s="60">
        <v>0</v>
      </c>
      <c r="AP45" s="62">
        <v>0</v>
      </c>
      <c r="OU45" s="50" t="s">
        <v>53</v>
      </c>
    </row>
    <row r="46" ht="8" customHeight="1" spans="1:42" x14ac:dyDescent="0.25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</row>
    <row r="47" ht="16" customHeight="1" spans="1:411" x14ac:dyDescent="0.25">
      <c r="A47" s="64" t="s">
        <v>47</v>
      </c>
      <c r="B47" s="35" t="s">
        <v>52</v>
      </c>
      <c r="C47" s="36">
        <f>J47</f>
        <v>23985.44</v>
      </c>
      <c r="D47" s="37"/>
      <c r="E47" s="37"/>
      <c r="F47" s="38">
        <f>SUM(K50:AP50)</f>
        <v>164</v>
      </c>
      <c r="G47" s="38">
        <f>SUM(K51:AP51)</f>
        <v>44</v>
      </c>
      <c r="H47" s="38">
        <f>SUM(K52:AP52)</f>
        <v>24</v>
      </c>
      <c r="I47" s="38">
        <f>SUM(K53:AP53)</f>
        <v>22</v>
      </c>
      <c r="J47" s="39">
        <f>C50+C51+C52</f>
        <v>23985.44</v>
      </c>
      <c r="K47" s="40"/>
      <c r="L47" s="41"/>
      <c r="M47" s="41"/>
      <c r="N47" s="41"/>
      <c r="O47" s="41"/>
      <c r="P47" s="42"/>
      <c r="Q47" s="42"/>
      <c r="R47" s="41"/>
      <c r="S47" s="41"/>
      <c r="T47" s="41"/>
      <c r="U47" s="41"/>
      <c r="V47" s="41"/>
      <c r="W47" s="42"/>
      <c r="X47" s="42"/>
      <c r="Y47" s="41"/>
      <c r="Z47" s="41"/>
      <c r="AA47" s="41"/>
      <c r="AB47" s="41"/>
      <c r="AC47" s="41"/>
      <c r="AD47" s="42"/>
      <c r="AE47" s="42"/>
      <c r="AF47" s="41"/>
      <c r="AG47" s="41"/>
      <c r="AH47" s="41"/>
      <c r="AI47" s="41"/>
      <c r="AJ47" s="41"/>
      <c r="AK47" s="42"/>
      <c r="AL47" s="42"/>
      <c r="AM47" s="41"/>
      <c r="AN47" s="41"/>
      <c r="AO47" s="41"/>
      <c r="AP47" s="43"/>
      <c r="OU47" s="44" t="s">
        <v>54</v>
      </c>
    </row>
    <row r="48" ht="16" customHeight="1" spans="1:411" x14ac:dyDescent="0.25">
      <c r="A48" s="64"/>
      <c r="B48" s="35"/>
      <c r="C48" s="36"/>
      <c r="D48" s="37"/>
      <c r="E48" s="45" t="s">
        <v>41</v>
      </c>
      <c r="F48" s="38"/>
      <c r="G48" s="38"/>
      <c r="H48" s="38"/>
      <c r="I48" s="38"/>
      <c r="J48" s="39"/>
      <c r="K48" s="46">
        <v>1</v>
      </c>
      <c r="L48" s="47">
        <v>1</v>
      </c>
      <c r="M48" s="47">
        <v>1</v>
      </c>
      <c r="N48" s="47">
        <v>1</v>
      </c>
      <c r="O48" s="47">
        <v>1</v>
      </c>
      <c r="P48" s="48">
        <v>0</v>
      </c>
      <c r="Q48" s="48">
        <v>0</v>
      </c>
      <c r="R48" s="47">
        <v>1</v>
      </c>
      <c r="S48" s="47">
        <v>1</v>
      </c>
      <c r="T48" s="47">
        <v>1</v>
      </c>
      <c r="U48" s="47">
        <v>1</v>
      </c>
      <c r="V48" s="47">
        <v>1</v>
      </c>
      <c r="W48" s="48">
        <v>1</v>
      </c>
      <c r="X48" s="48">
        <v>1</v>
      </c>
      <c r="Y48" s="47">
        <v>1</v>
      </c>
      <c r="Z48" s="47">
        <v>1</v>
      </c>
      <c r="AA48" s="47">
        <v>1</v>
      </c>
      <c r="AB48" s="47">
        <v>1</v>
      </c>
      <c r="AC48" s="47">
        <v>1</v>
      </c>
      <c r="AD48" s="48">
        <v>1</v>
      </c>
      <c r="AE48" s="48">
        <v>1</v>
      </c>
      <c r="AF48" s="47">
        <v>1</v>
      </c>
      <c r="AG48" s="47">
        <v>1</v>
      </c>
      <c r="AH48" s="47">
        <v>1</v>
      </c>
      <c r="AI48" s="47">
        <v>0</v>
      </c>
      <c r="AJ48" s="47">
        <v>0</v>
      </c>
      <c r="AK48" s="48">
        <v>0</v>
      </c>
      <c r="AL48" s="48">
        <v>0</v>
      </c>
      <c r="AM48" s="47">
        <v>0</v>
      </c>
      <c r="AN48" s="47">
        <v>0</v>
      </c>
      <c r="AO48" s="47">
        <v>0</v>
      </c>
      <c r="AP48" s="49">
        <v>0</v>
      </c>
      <c r="OU48" s="50" t="s">
        <v>54</v>
      </c>
    </row>
    <row r="49" ht="16" customHeight="1" spans="1:411" x14ac:dyDescent="0.25">
      <c r="A49" s="64"/>
      <c r="B49" s="35"/>
      <c r="C49" s="36"/>
      <c r="D49" s="37"/>
      <c r="E49" s="45" t="s">
        <v>42</v>
      </c>
      <c r="F49" s="38"/>
      <c r="G49" s="38"/>
      <c r="H49" s="38"/>
      <c r="I49" s="38"/>
      <c r="J49" s="39"/>
      <c r="K49" s="46">
        <v>8</v>
      </c>
      <c r="L49" s="47">
        <v>8</v>
      </c>
      <c r="M49" s="47">
        <v>8</v>
      </c>
      <c r="N49" s="47">
        <v>8</v>
      </c>
      <c r="O49" s="47">
        <v>8</v>
      </c>
      <c r="P49" s="48">
        <v>0</v>
      </c>
      <c r="Q49" s="48">
        <v>0</v>
      </c>
      <c r="R49" s="47">
        <v>8</v>
      </c>
      <c r="S49" s="47">
        <v>8</v>
      </c>
      <c r="T49" s="47">
        <v>8</v>
      </c>
      <c r="U49" s="47">
        <v>12</v>
      </c>
      <c r="V49" s="47">
        <v>12</v>
      </c>
      <c r="W49" s="48">
        <v>12</v>
      </c>
      <c r="X49" s="48">
        <v>12</v>
      </c>
      <c r="Y49" s="47">
        <v>12</v>
      </c>
      <c r="Z49" s="47">
        <v>12</v>
      </c>
      <c r="AA49" s="47">
        <v>12</v>
      </c>
      <c r="AB49" s="47">
        <v>12</v>
      </c>
      <c r="AC49" s="47">
        <v>12</v>
      </c>
      <c r="AD49" s="48">
        <v>12</v>
      </c>
      <c r="AE49" s="48">
        <v>12</v>
      </c>
      <c r="AF49" s="47">
        <v>12</v>
      </c>
      <c r="AG49" s="47">
        <v>12</v>
      </c>
      <c r="AH49" s="47">
        <v>12</v>
      </c>
      <c r="AI49" s="47">
        <v>0</v>
      </c>
      <c r="AJ49" s="47">
        <v>0</v>
      </c>
      <c r="AK49" s="48">
        <v>0</v>
      </c>
      <c r="AL49" s="48">
        <v>0</v>
      </c>
      <c r="AM49" s="47">
        <v>0</v>
      </c>
      <c r="AN49" s="47">
        <v>0</v>
      </c>
      <c r="AO49" s="47">
        <v>0</v>
      </c>
      <c r="AP49" s="49">
        <v>0</v>
      </c>
      <c r="OU49" s="50" t="s">
        <v>54</v>
      </c>
    </row>
    <row r="50" ht="16" customHeight="1" spans="1:411" x14ac:dyDescent="0.25">
      <c r="A50" s="64"/>
      <c r="B50" s="35"/>
      <c r="C50" s="51">
        <f>F47*D50</f>
        <v>14927.279999999999</v>
      </c>
      <c r="D50" s="51">
        <f>'Rate Tables'!C9</f>
        <v>91.02</v>
      </c>
      <c r="E50" s="45" t="s">
        <v>43</v>
      </c>
      <c r="F50" s="38"/>
      <c r="G50" s="38"/>
      <c r="H50" s="38"/>
      <c r="I50" s="38"/>
      <c r="J50" s="39"/>
      <c r="K50" s="52">
        <v>8</v>
      </c>
      <c r="L50" s="53">
        <v>8</v>
      </c>
      <c r="M50" s="53">
        <v>8</v>
      </c>
      <c r="N50" s="53">
        <v>8</v>
      </c>
      <c r="O50" s="53">
        <v>8</v>
      </c>
      <c r="P50" s="54">
        <v>0</v>
      </c>
      <c r="Q50" s="54">
        <v>0</v>
      </c>
      <c r="R50" s="53">
        <v>8</v>
      </c>
      <c r="S50" s="53">
        <v>8</v>
      </c>
      <c r="T50" s="53">
        <v>8</v>
      </c>
      <c r="U50" s="53">
        <v>10</v>
      </c>
      <c r="V50" s="53">
        <v>10</v>
      </c>
      <c r="W50" s="54">
        <v>10</v>
      </c>
      <c r="X50" s="54">
        <v>0</v>
      </c>
      <c r="Y50" s="53">
        <v>10</v>
      </c>
      <c r="Z50" s="53">
        <v>10</v>
      </c>
      <c r="AA50" s="53">
        <v>10</v>
      </c>
      <c r="AB50" s="53">
        <v>10</v>
      </c>
      <c r="AC50" s="53">
        <v>0</v>
      </c>
      <c r="AD50" s="54">
        <v>0</v>
      </c>
      <c r="AE50" s="54">
        <v>0</v>
      </c>
      <c r="AF50" s="53">
        <v>10</v>
      </c>
      <c r="AG50" s="53">
        <v>10</v>
      </c>
      <c r="AH50" s="53">
        <v>10</v>
      </c>
      <c r="AI50" s="53">
        <v>0</v>
      </c>
      <c r="AJ50" s="53">
        <v>0</v>
      </c>
      <c r="AK50" s="54">
        <v>0</v>
      </c>
      <c r="AL50" s="54">
        <v>0</v>
      </c>
      <c r="AM50" s="53">
        <v>0</v>
      </c>
      <c r="AN50" s="53">
        <v>0</v>
      </c>
      <c r="AO50" s="53">
        <v>0</v>
      </c>
      <c r="AP50" s="55">
        <v>0</v>
      </c>
      <c r="OU50" s="44" t="s">
        <v>54</v>
      </c>
    </row>
    <row r="51" ht="16" customHeight="1" spans="1:411" x14ac:dyDescent="0.25">
      <c r="A51" s="64"/>
      <c r="B51" s="35"/>
      <c r="C51" s="56">
        <f>G47*D51</f>
        <v>5376.8</v>
      </c>
      <c r="D51" s="56">
        <f>'Rate Tables'!D9</f>
        <v>122.2</v>
      </c>
      <c r="E51" s="45" t="s">
        <v>44</v>
      </c>
      <c r="F51" s="38"/>
      <c r="G51" s="38"/>
      <c r="H51" s="38"/>
      <c r="I51" s="38"/>
      <c r="J51" s="39"/>
      <c r="K51" s="52">
        <v>0</v>
      </c>
      <c r="L51" s="53">
        <v>0</v>
      </c>
      <c r="M51" s="53">
        <v>0</v>
      </c>
      <c r="N51" s="53">
        <v>0</v>
      </c>
      <c r="O51" s="53">
        <v>0</v>
      </c>
      <c r="P51" s="54">
        <v>0</v>
      </c>
      <c r="Q51" s="54">
        <v>0</v>
      </c>
      <c r="R51" s="53">
        <v>0</v>
      </c>
      <c r="S51" s="53">
        <v>0</v>
      </c>
      <c r="T51" s="53">
        <v>0</v>
      </c>
      <c r="U51" s="53">
        <v>2</v>
      </c>
      <c r="V51" s="53">
        <v>2</v>
      </c>
      <c r="W51" s="54">
        <v>2</v>
      </c>
      <c r="X51" s="54">
        <v>0</v>
      </c>
      <c r="Y51" s="53">
        <v>2</v>
      </c>
      <c r="Z51" s="53">
        <v>2</v>
      </c>
      <c r="AA51" s="53">
        <v>2</v>
      </c>
      <c r="AB51" s="53">
        <v>2</v>
      </c>
      <c r="AC51" s="53">
        <v>12</v>
      </c>
      <c r="AD51" s="54">
        <v>12</v>
      </c>
      <c r="AE51" s="54">
        <v>0</v>
      </c>
      <c r="AF51" s="53">
        <v>2</v>
      </c>
      <c r="AG51" s="53">
        <v>2</v>
      </c>
      <c r="AH51" s="53">
        <v>2</v>
      </c>
      <c r="AI51" s="53">
        <v>0</v>
      </c>
      <c r="AJ51" s="53">
        <v>0</v>
      </c>
      <c r="AK51" s="54">
        <v>0</v>
      </c>
      <c r="AL51" s="54">
        <v>0</v>
      </c>
      <c r="AM51" s="53">
        <v>0</v>
      </c>
      <c r="AN51" s="53">
        <v>0</v>
      </c>
      <c r="AO51" s="53">
        <v>0</v>
      </c>
      <c r="AP51" s="55">
        <v>0</v>
      </c>
      <c r="OU51" s="44" t="s">
        <v>54</v>
      </c>
    </row>
    <row r="52" ht="16" customHeight="1" spans="1:411" x14ac:dyDescent="0.25">
      <c r="A52" s="64"/>
      <c r="B52" s="35"/>
      <c r="C52" s="51">
        <f>H47*D52</f>
        <v>3681.3599999999997</v>
      </c>
      <c r="D52" s="51">
        <f>'Rate Tables'!E9</f>
        <v>153.39</v>
      </c>
      <c r="E52" s="45" t="s">
        <v>45</v>
      </c>
      <c r="F52" s="38"/>
      <c r="G52" s="38"/>
      <c r="H52" s="38"/>
      <c r="I52" s="38"/>
      <c r="J52" s="39"/>
      <c r="K52" s="52">
        <v>0</v>
      </c>
      <c r="L52" s="53">
        <v>0</v>
      </c>
      <c r="M52" s="53">
        <v>0</v>
      </c>
      <c r="N52" s="53">
        <v>0</v>
      </c>
      <c r="O52" s="53">
        <v>0</v>
      </c>
      <c r="P52" s="54">
        <v>0</v>
      </c>
      <c r="Q52" s="54">
        <v>0</v>
      </c>
      <c r="R52" s="53">
        <v>0</v>
      </c>
      <c r="S52" s="53">
        <v>0</v>
      </c>
      <c r="T52" s="53">
        <v>0</v>
      </c>
      <c r="U52" s="53">
        <v>0</v>
      </c>
      <c r="V52" s="53">
        <v>0</v>
      </c>
      <c r="W52" s="54">
        <v>0</v>
      </c>
      <c r="X52" s="54">
        <v>12</v>
      </c>
      <c r="Y52" s="53">
        <v>0</v>
      </c>
      <c r="Z52" s="53">
        <v>0</v>
      </c>
      <c r="AA52" s="53">
        <v>0</v>
      </c>
      <c r="AB52" s="53">
        <v>0</v>
      </c>
      <c r="AC52" s="53">
        <v>0</v>
      </c>
      <c r="AD52" s="54">
        <v>0</v>
      </c>
      <c r="AE52" s="54">
        <v>12</v>
      </c>
      <c r="AF52" s="53">
        <v>0</v>
      </c>
      <c r="AG52" s="53">
        <v>0</v>
      </c>
      <c r="AH52" s="53">
        <v>0</v>
      </c>
      <c r="AI52" s="53">
        <v>0</v>
      </c>
      <c r="AJ52" s="53">
        <v>0</v>
      </c>
      <c r="AK52" s="54">
        <v>0</v>
      </c>
      <c r="AL52" s="54">
        <v>0</v>
      </c>
      <c r="AM52" s="53">
        <v>0</v>
      </c>
      <c r="AN52" s="53">
        <v>0</v>
      </c>
      <c r="AO52" s="53">
        <v>0</v>
      </c>
      <c r="AP52" s="55">
        <v>0</v>
      </c>
      <c r="OU52" s="44" t="s">
        <v>54</v>
      </c>
    </row>
    <row r="53" ht="16" customHeight="1" spans="1:411" x14ac:dyDescent="0.25">
      <c r="A53" s="64"/>
      <c r="B53" s="35"/>
      <c r="C53" s="57">
        <f>I47*D53</f>
        <v>3080</v>
      </c>
      <c r="D53" s="57">
        <v>140</v>
      </c>
      <c r="E53" s="58" t="s">
        <v>46</v>
      </c>
      <c r="F53" s="38"/>
      <c r="G53" s="38"/>
      <c r="H53" s="38"/>
      <c r="I53" s="38"/>
      <c r="J53" s="39"/>
      <c r="K53" s="59">
        <v>1</v>
      </c>
      <c r="L53" s="60">
        <v>1</v>
      </c>
      <c r="M53" s="60">
        <v>1</v>
      </c>
      <c r="N53" s="60">
        <v>1</v>
      </c>
      <c r="O53" s="60">
        <v>1</v>
      </c>
      <c r="P53" s="61">
        <v>0</v>
      </c>
      <c r="Q53" s="61">
        <v>0</v>
      </c>
      <c r="R53" s="60">
        <v>1</v>
      </c>
      <c r="S53" s="60">
        <v>1</v>
      </c>
      <c r="T53" s="60">
        <v>1</v>
      </c>
      <c r="U53" s="60">
        <v>1</v>
      </c>
      <c r="V53" s="60">
        <v>1</v>
      </c>
      <c r="W53" s="61">
        <v>1</v>
      </c>
      <c r="X53" s="61">
        <v>1</v>
      </c>
      <c r="Y53" s="60">
        <v>1</v>
      </c>
      <c r="Z53" s="60">
        <v>1</v>
      </c>
      <c r="AA53" s="60">
        <v>1</v>
      </c>
      <c r="AB53" s="60">
        <v>1</v>
      </c>
      <c r="AC53" s="60">
        <v>1</v>
      </c>
      <c r="AD53" s="61">
        <v>1</v>
      </c>
      <c r="AE53" s="61">
        <v>1</v>
      </c>
      <c r="AF53" s="60">
        <v>1</v>
      </c>
      <c r="AG53" s="60">
        <v>1</v>
      </c>
      <c r="AH53" s="60">
        <v>1</v>
      </c>
      <c r="AI53" s="60">
        <v>0</v>
      </c>
      <c r="AJ53" s="60">
        <v>0</v>
      </c>
      <c r="AK53" s="61">
        <v>0</v>
      </c>
      <c r="AL53" s="61">
        <v>0</v>
      </c>
      <c r="AM53" s="60">
        <v>0</v>
      </c>
      <c r="AN53" s="60">
        <v>0</v>
      </c>
      <c r="AO53" s="60">
        <v>0</v>
      </c>
      <c r="AP53" s="62">
        <v>0</v>
      </c>
      <c r="OU53" s="50" t="s">
        <v>54</v>
      </c>
    </row>
    <row r="54" ht="8" customHeight="1" spans="1:42" x14ac:dyDescent="0.25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  <c r="AM54" s="63"/>
      <c r="AN54" s="63"/>
      <c r="AO54" s="63"/>
      <c r="AP54" s="63"/>
    </row>
    <row r="55" ht="16" customHeight="1" spans="1:411" x14ac:dyDescent="0.25">
      <c r="A55" s="34" t="s">
        <v>38</v>
      </c>
      <c r="B55" s="35" t="s">
        <v>55</v>
      </c>
      <c r="C55" s="36">
        <f>J55</f>
        <v>36191.68</v>
      </c>
      <c r="D55" s="37"/>
      <c r="E55" s="37"/>
      <c r="F55" s="38">
        <f>SUM(K58:AP58)</f>
        <v>192</v>
      </c>
      <c r="G55" s="38">
        <f>SUM(K59:AP59)</f>
        <v>64</v>
      </c>
      <c r="H55" s="38">
        <f>SUM(K60:AP60)</f>
        <v>24</v>
      </c>
      <c r="I55" s="38">
        <f>SUM(K61:AP61)</f>
        <v>22</v>
      </c>
      <c r="J55" s="39">
        <f>C58+C59+C60</f>
        <v>36191.68</v>
      </c>
      <c r="K55" s="40"/>
      <c r="L55" s="41"/>
      <c r="M55" s="41"/>
      <c r="N55" s="41"/>
      <c r="O55" s="41"/>
      <c r="P55" s="42"/>
      <c r="Q55" s="42"/>
      <c r="R55" s="41"/>
      <c r="S55" s="41"/>
      <c r="T55" s="41"/>
      <c r="U55" s="41"/>
      <c r="V55" s="41"/>
      <c r="W55" s="42"/>
      <c r="X55" s="42"/>
      <c r="Y55" s="41"/>
      <c r="Z55" s="41"/>
      <c r="AA55" s="41"/>
      <c r="AB55" s="41"/>
      <c r="AC55" s="41"/>
      <c r="AD55" s="42"/>
      <c r="AE55" s="42"/>
      <c r="AF55" s="41"/>
      <c r="AG55" s="41"/>
      <c r="AH55" s="41"/>
      <c r="AI55" s="41"/>
      <c r="AJ55" s="41"/>
      <c r="AK55" s="42"/>
      <c r="AL55" s="42"/>
      <c r="AM55" s="41"/>
      <c r="AN55" s="41"/>
      <c r="AO55" s="41"/>
      <c r="AP55" s="43"/>
      <c r="OU55" s="44" t="s">
        <v>56</v>
      </c>
    </row>
    <row r="56" ht="16" customHeight="1" spans="1:411" x14ac:dyDescent="0.25">
      <c r="A56" s="34"/>
      <c r="B56" s="35"/>
      <c r="C56" s="36"/>
      <c r="D56" s="37"/>
      <c r="E56" s="45" t="s">
        <v>41</v>
      </c>
      <c r="F56" s="38"/>
      <c r="G56" s="38"/>
      <c r="H56" s="38"/>
      <c r="I56" s="38"/>
      <c r="J56" s="39"/>
      <c r="K56" s="46">
        <v>1</v>
      </c>
      <c r="L56" s="47">
        <v>1</v>
      </c>
      <c r="M56" s="47">
        <v>1</v>
      </c>
      <c r="N56" s="47">
        <v>1</v>
      </c>
      <c r="O56" s="47">
        <v>1</v>
      </c>
      <c r="P56" s="48">
        <v>0</v>
      </c>
      <c r="Q56" s="48">
        <v>0</v>
      </c>
      <c r="R56" s="47">
        <v>1</v>
      </c>
      <c r="S56" s="47">
        <v>1</v>
      </c>
      <c r="T56" s="47">
        <v>1</v>
      </c>
      <c r="U56" s="47">
        <v>1</v>
      </c>
      <c r="V56" s="47">
        <v>1</v>
      </c>
      <c r="W56" s="48">
        <v>1</v>
      </c>
      <c r="X56" s="48">
        <v>1</v>
      </c>
      <c r="Y56" s="47">
        <v>1</v>
      </c>
      <c r="Z56" s="47">
        <v>1</v>
      </c>
      <c r="AA56" s="47">
        <v>1</v>
      </c>
      <c r="AB56" s="47">
        <v>1</v>
      </c>
      <c r="AC56" s="47">
        <v>1</v>
      </c>
      <c r="AD56" s="48">
        <v>1</v>
      </c>
      <c r="AE56" s="48">
        <v>1</v>
      </c>
      <c r="AF56" s="47">
        <v>1</v>
      </c>
      <c r="AG56" s="47">
        <v>1</v>
      </c>
      <c r="AH56" s="47">
        <v>1</v>
      </c>
      <c r="AI56" s="47">
        <v>1</v>
      </c>
      <c r="AJ56" s="47">
        <v>1</v>
      </c>
      <c r="AK56" s="48">
        <v>0</v>
      </c>
      <c r="AL56" s="48">
        <v>0</v>
      </c>
      <c r="AM56" s="47">
        <v>1</v>
      </c>
      <c r="AN56" s="47">
        <v>1</v>
      </c>
      <c r="AO56" s="47">
        <v>1</v>
      </c>
      <c r="AP56" s="49">
        <v>1</v>
      </c>
      <c r="OU56" s="50" t="s">
        <v>56</v>
      </c>
    </row>
    <row r="57" ht="16" customHeight="1" spans="1:411" x14ac:dyDescent="0.25">
      <c r="A57" s="34"/>
      <c r="B57" s="35"/>
      <c r="C57" s="36"/>
      <c r="D57" s="37"/>
      <c r="E57" s="45" t="s">
        <v>42</v>
      </c>
      <c r="F57" s="38"/>
      <c r="G57" s="38"/>
      <c r="H57" s="38"/>
      <c r="I57" s="38"/>
      <c r="J57" s="39"/>
      <c r="K57" s="46">
        <v>8</v>
      </c>
      <c r="L57" s="47">
        <v>8</v>
      </c>
      <c r="M57" s="47">
        <v>8</v>
      </c>
      <c r="N57" s="47">
        <v>8</v>
      </c>
      <c r="O57" s="47">
        <v>8</v>
      </c>
      <c r="P57" s="48">
        <v>0</v>
      </c>
      <c r="Q57" s="48">
        <v>0</v>
      </c>
      <c r="R57" s="47">
        <v>8</v>
      </c>
      <c r="S57" s="47">
        <v>8</v>
      </c>
      <c r="T57" s="47">
        <v>8</v>
      </c>
      <c r="U57" s="47">
        <v>12</v>
      </c>
      <c r="V57" s="47">
        <v>12</v>
      </c>
      <c r="W57" s="48">
        <v>12</v>
      </c>
      <c r="X57" s="48">
        <v>12</v>
      </c>
      <c r="Y57" s="47">
        <v>12</v>
      </c>
      <c r="Z57" s="47">
        <v>12</v>
      </c>
      <c r="AA57" s="47">
        <v>12</v>
      </c>
      <c r="AB57" s="47">
        <v>12</v>
      </c>
      <c r="AC57" s="47">
        <v>12</v>
      </c>
      <c r="AD57" s="48">
        <v>12</v>
      </c>
      <c r="AE57" s="48">
        <v>12</v>
      </c>
      <c r="AF57" s="47">
        <v>12</v>
      </c>
      <c r="AG57" s="47">
        <v>12</v>
      </c>
      <c r="AH57" s="47">
        <v>12</v>
      </c>
      <c r="AI57" s="47">
        <v>8</v>
      </c>
      <c r="AJ57" s="47">
        <v>8</v>
      </c>
      <c r="AK57" s="48">
        <v>0</v>
      </c>
      <c r="AL57" s="48">
        <v>0</v>
      </c>
      <c r="AM57" s="47">
        <v>8</v>
      </c>
      <c r="AN57" s="47">
        <v>8</v>
      </c>
      <c r="AO57" s="47">
        <v>8</v>
      </c>
      <c r="AP57" s="49">
        <v>8</v>
      </c>
      <c r="OU57" s="50" t="s">
        <v>56</v>
      </c>
    </row>
    <row r="58" ht="16" customHeight="1" spans="1:411" x14ac:dyDescent="0.25">
      <c r="A58" s="34"/>
      <c r="B58" s="35"/>
      <c r="C58" s="51">
        <f>F55*D58</f>
        <v>21354.239999999998</v>
      </c>
      <c r="D58" s="51">
        <f>'Rate Tables'!C10</f>
        <v>111.22</v>
      </c>
      <c r="E58" s="45" t="s">
        <v>43</v>
      </c>
      <c r="F58" s="38"/>
      <c r="G58" s="38"/>
      <c r="H58" s="38"/>
      <c r="I58" s="38"/>
      <c r="J58" s="39"/>
      <c r="K58" s="52">
        <v>8</v>
      </c>
      <c r="L58" s="53">
        <v>8</v>
      </c>
      <c r="M58" s="53">
        <v>8</v>
      </c>
      <c r="N58" s="53">
        <v>8</v>
      </c>
      <c r="O58" s="53">
        <v>8</v>
      </c>
      <c r="P58" s="54">
        <v>0</v>
      </c>
      <c r="Q58" s="54">
        <v>0</v>
      </c>
      <c r="R58" s="53">
        <v>8</v>
      </c>
      <c r="S58" s="53">
        <v>8</v>
      </c>
      <c r="T58" s="53">
        <v>8</v>
      </c>
      <c r="U58" s="53">
        <v>8</v>
      </c>
      <c r="V58" s="53">
        <v>8</v>
      </c>
      <c r="W58" s="54">
        <v>0</v>
      </c>
      <c r="X58" s="54">
        <v>0</v>
      </c>
      <c r="Y58" s="53">
        <v>8</v>
      </c>
      <c r="Z58" s="53">
        <v>8</v>
      </c>
      <c r="AA58" s="53">
        <v>8</v>
      </c>
      <c r="AB58" s="53">
        <v>8</v>
      </c>
      <c r="AC58" s="53">
        <v>8</v>
      </c>
      <c r="AD58" s="54">
        <v>0</v>
      </c>
      <c r="AE58" s="54">
        <v>0</v>
      </c>
      <c r="AF58" s="53">
        <v>8</v>
      </c>
      <c r="AG58" s="53">
        <v>8</v>
      </c>
      <c r="AH58" s="53">
        <v>8</v>
      </c>
      <c r="AI58" s="53">
        <v>8</v>
      </c>
      <c r="AJ58" s="53">
        <v>8</v>
      </c>
      <c r="AK58" s="54">
        <v>0</v>
      </c>
      <c r="AL58" s="54">
        <v>0</v>
      </c>
      <c r="AM58" s="53">
        <v>8</v>
      </c>
      <c r="AN58" s="53">
        <v>8</v>
      </c>
      <c r="AO58" s="53">
        <v>8</v>
      </c>
      <c r="AP58" s="55">
        <v>8</v>
      </c>
      <c r="OU58" s="44" t="s">
        <v>56</v>
      </c>
    </row>
    <row r="59" ht="16" customHeight="1" spans="1:411" x14ac:dyDescent="0.25">
      <c r="A59" s="34"/>
      <c r="B59" s="35"/>
      <c r="C59" s="56">
        <f>G55*D59</f>
        <v>10003.84</v>
      </c>
      <c r="D59" s="56">
        <f>'Rate Tables'!D10</f>
        <v>156.31</v>
      </c>
      <c r="E59" s="45" t="s">
        <v>44</v>
      </c>
      <c r="F59" s="38"/>
      <c r="G59" s="38"/>
      <c r="H59" s="38"/>
      <c r="I59" s="38"/>
      <c r="J59" s="39"/>
      <c r="K59" s="52">
        <v>0</v>
      </c>
      <c r="L59" s="53">
        <v>0</v>
      </c>
      <c r="M59" s="53">
        <v>0</v>
      </c>
      <c r="N59" s="53">
        <v>0</v>
      </c>
      <c r="O59" s="53">
        <v>0</v>
      </c>
      <c r="P59" s="54">
        <v>0</v>
      </c>
      <c r="Q59" s="54">
        <v>0</v>
      </c>
      <c r="R59" s="53">
        <v>0</v>
      </c>
      <c r="S59" s="53">
        <v>0</v>
      </c>
      <c r="T59" s="53">
        <v>0</v>
      </c>
      <c r="U59" s="53">
        <v>4</v>
      </c>
      <c r="V59" s="53">
        <v>4</v>
      </c>
      <c r="W59" s="54">
        <v>12</v>
      </c>
      <c r="X59" s="54">
        <v>0</v>
      </c>
      <c r="Y59" s="53">
        <v>4</v>
      </c>
      <c r="Z59" s="53">
        <v>4</v>
      </c>
      <c r="AA59" s="53">
        <v>4</v>
      </c>
      <c r="AB59" s="53">
        <v>4</v>
      </c>
      <c r="AC59" s="53">
        <v>4</v>
      </c>
      <c r="AD59" s="54">
        <v>12</v>
      </c>
      <c r="AE59" s="54">
        <v>0</v>
      </c>
      <c r="AF59" s="53">
        <v>4</v>
      </c>
      <c r="AG59" s="53">
        <v>4</v>
      </c>
      <c r="AH59" s="53">
        <v>4</v>
      </c>
      <c r="AI59" s="53">
        <v>0</v>
      </c>
      <c r="AJ59" s="53">
        <v>0</v>
      </c>
      <c r="AK59" s="54">
        <v>0</v>
      </c>
      <c r="AL59" s="54">
        <v>0</v>
      </c>
      <c r="AM59" s="53">
        <v>0</v>
      </c>
      <c r="AN59" s="53">
        <v>0</v>
      </c>
      <c r="AO59" s="53">
        <v>0</v>
      </c>
      <c r="AP59" s="55">
        <v>0</v>
      </c>
      <c r="OU59" s="44" t="s">
        <v>56</v>
      </c>
    </row>
    <row r="60" ht="16" customHeight="1" spans="1:411" x14ac:dyDescent="0.25">
      <c r="A60" s="34"/>
      <c r="B60" s="35"/>
      <c r="C60" s="51">
        <f>H55*D60</f>
        <v>4833.6</v>
      </c>
      <c r="D60" s="51">
        <f>'Rate Tables'!E10</f>
        <v>201.4</v>
      </c>
      <c r="E60" s="45" t="s">
        <v>45</v>
      </c>
      <c r="F60" s="38"/>
      <c r="G60" s="38"/>
      <c r="H60" s="38"/>
      <c r="I60" s="38"/>
      <c r="J60" s="39"/>
      <c r="K60" s="52">
        <v>0</v>
      </c>
      <c r="L60" s="53">
        <v>0</v>
      </c>
      <c r="M60" s="53">
        <v>0</v>
      </c>
      <c r="N60" s="53">
        <v>0</v>
      </c>
      <c r="O60" s="53">
        <v>0</v>
      </c>
      <c r="P60" s="54">
        <v>0</v>
      </c>
      <c r="Q60" s="54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54">
        <v>0</v>
      </c>
      <c r="X60" s="54">
        <v>12</v>
      </c>
      <c r="Y60" s="53">
        <v>0</v>
      </c>
      <c r="Z60" s="53">
        <v>0</v>
      </c>
      <c r="AA60" s="53">
        <v>0</v>
      </c>
      <c r="AB60" s="53">
        <v>0</v>
      </c>
      <c r="AC60" s="53">
        <v>0</v>
      </c>
      <c r="AD60" s="54">
        <v>0</v>
      </c>
      <c r="AE60" s="54">
        <v>12</v>
      </c>
      <c r="AF60" s="53">
        <v>0</v>
      </c>
      <c r="AG60" s="53">
        <v>0</v>
      </c>
      <c r="AH60" s="53">
        <v>0</v>
      </c>
      <c r="AI60" s="53">
        <v>0</v>
      </c>
      <c r="AJ60" s="53">
        <v>0</v>
      </c>
      <c r="AK60" s="54">
        <v>0</v>
      </c>
      <c r="AL60" s="54">
        <v>0</v>
      </c>
      <c r="AM60" s="53">
        <v>0</v>
      </c>
      <c r="AN60" s="53">
        <v>0</v>
      </c>
      <c r="AO60" s="53">
        <v>0</v>
      </c>
      <c r="AP60" s="55">
        <v>0</v>
      </c>
      <c r="OU60" s="44" t="s">
        <v>56</v>
      </c>
    </row>
    <row r="61" ht="16" customHeight="1" spans="1:411" x14ac:dyDescent="0.25">
      <c r="A61" s="34"/>
      <c r="B61" s="35"/>
      <c r="C61" s="57">
        <f>I55*D61</f>
        <v>3080</v>
      </c>
      <c r="D61" s="57">
        <v>140</v>
      </c>
      <c r="E61" s="58" t="s">
        <v>46</v>
      </c>
      <c r="F61" s="38"/>
      <c r="G61" s="38"/>
      <c r="H61" s="38"/>
      <c r="I61" s="38"/>
      <c r="J61" s="39"/>
      <c r="K61" s="59">
        <v>1</v>
      </c>
      <c r="L61" s="60">
        <v>1</v>
      </c>
      <c r="M61" s="60">
        <v>1</v>
      </c>
      <c r="N61" s="60">
        <v>1</v>
      </c>
      <c r="O61" s="60">
        <v>1</v>
      </c>
      <c r="P61" s="61">
        <v>0</v>
      </c>
      <c r="Q61" s="61">
        <v>0</v>
      </c>
      <c r="R61" s="60">
        <v>1</v>
      </c>
      <c r="S61" s="60">
        <v>1</v>
      </c>
      <c r="T61" s="60">
        <v>1</v>
      </c>
      <c r="U61" s="60">
        <v>1</v>
      </c>
      <c r="V61" s="60">
        <v>1</v>
      </c>
      <c r="W61" s="61">
        <v>1</v>
      </c>
      <c r="X61" s="61">
        <v>1</v>
      </c>
      <c r="Y61" s="60">
        <v>1</v>
      </c>
      <c r="Z61" s="60">
        <v>1</v>
      </c>
      <c r="AA61" s="60">
        <v>1</v>
      </c>
      <c r="AB61" s="60">
        <v>1</v>
      </c>
      <c r="AC61" s="60">
        <v>1</v>
      </c>
      <c r="AD61" s="61">
        <v>1</v>
      </c>
      <c r="AE61" s="61">
        <v>1</v>
      </c>
      <c r="AF61" s="60">
        <v>1</v>
      </c>
      <c r="AG61" s="60">
        <v>1</v>
      </c>
      <c r="AH61" s="60">
        <v>1</v>
      </c>
      <c r="AI61" s="60">
        <v>0</v>
      </c>
      <c r="AJ61" s="60">
        <v>0</v>
      </c>
      <c r="AK61" s="61">
        <v>0</v>
      </c>
      <c r="AL61" s="61">
        <v>0</v>
      </c>
      <c r="AM61" s="60">
        <v>0</v>
      </c>
      <c r="AN61" s="60">
        <v>0</v>
      </c>
      <c r="AO61" s="60">
        <v>0</v>
      </c>
      <c r="AP61" s="62">
        <v>0</v>
      </c>
      <c r="OU61" s="50" t="s">
        <v>56</v>
      </c>
    </row>
    <row r="62" ht="8" customHeight="1" spans="1:42" x14ac:dyDescent="0.25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  <c r="AM62" s="63"/>
      <c r="AN62" s="63"/>
      <c r="AO62" s="63"/>
      <c r="AP62" s="63"/>
    </row>
    <row r="63" ht="16" customHeight="1" spans="1:411" x14ac:dyDescent="0.25">
      <c r="A63" s="64" t="s">
        <v>47</v>
      </c>
      <c r="B63" s="35" t="s">
        <v>55</v>
      </c>
      <c r="C63" s="36">
        <f>J63</f>
        <v>30853.120000000003</v>
      </c>
      <c r="D63" s="37"/>
      <c r="E63" s="37"/>
      <c r="F63" s="38">
        <f>SUM(K66:AP66)</f>
        <v>144</v>
      </c>
      <c r="G63" s="38">
        <f>SUM(K67:AP67)</f>
        <v>64</v>
      </c>
      <c r="H63" s="38">
        <f>SUM(K68:AP68)</f>
        <v>24</v>
      </c>
      <c r="I63" s="38">
        <f>SUM(K69:AP69)</f>
        <v>22</v>
      </c>
      <c r="J63" s="39">
        <f>C66+C67+C68</f>
        <v>30853.120000000003</v>
      </c>
      <c r="K63" s="40"/>
      <c r="L63" s="41"/>
      <c r="M63" s="41"/>
      <c r="N63" s="41"/>
      <c r="O63" s="41"/>
      <c r="P63" s="42"/>
      <c r="Q63" s="42"/>
      <c r="R63" s="41"/>
      <c r="S63" s="41"/>
      <c r="T63" s="41"/>
      <c r="U63" s="41"/>
      <c r="V63" s="41"/>
      <c r="W63" s="42"/>
      <c r="X63" s="42"/>
      <c r="Y63" s="41"/>
      <c r="Z63" s="41"/>
      <c r="AA63" s="41"/>
      <c r="AB63" s="41"/>
      <c r="AC63" s="41"/>
      <c r="AD63" s="42"/>
      <c r="AE63" s="42"/>
      <c r="AF63" s="41"/>
      <c r="AG63" s="41"/>
      <c r="AH63" s="41"/>
      <c r="AI63" s="41"/>
      <c r="AJ63" s="41"/>
      <c r="AK63" s="42"/>
      <c r="AL63" s="42"/>
      <c r="AM63" s="41"/>
      <c r="AN63" s="41"/>
      <c r="AO63" s="41"/>
      <c r="AP63" s="43"/>
      <c r="OU63" s="44" t="s">
        <v>57</v>
      </c>
    </row>
    <row r="64" ht="16" customHeight="1" spans="1:411" x14ac:dyDescent="0.25">
      <c r="A64" s="64"/>
      <c r="B64" s="35"/>
      <c r="C64" s="36"/>
      <c r="D64" s="37"/>
      <c r="E64" s="45" t="s">
        <v>41</v>
      </c>
      <c r="F64" s="38"/>
      <c r="G64" s="38"/>
      <c r="H64" s="38"/>
      <c r="I64" s="38"/>
      <c r="J64" s="39"/>
      <c r="K64" s="46">
        <v>1</v>
      </c>
      <c r="L64" s="47">
        <v>1</v>
      </c>
      <c r="M64" s="47">
        <v>1</v>
      </c>
      <c r="N64" s="47">
        <v>1</v>
      </c>
      <c r="O64" s="47">
        <v>1</v>
      </c>
      <c r="P64" s="48">
        <v>0</v>
      </c>
      <c r="Q64" s="48">
        <v>0</v>
      </c>
      <c r="R64" s="47">
        <v>1</v>
      </c>
      <c r="S64" s="47">
        <v>1</v>
      </c>
      <c r="T64" s="47">
        <v>1</v>
      </c>
      <c r="U64" s="47">
        <v>1</v>
      </c>
      <c r="V64" s="47">
        <v>1</v>
      </c>
      <c r="W64" s="48">
        <v>1</v>
      </c>
      <c r="X64" s="48">
        <v>1</v>
      </c>
      <c r="Y64" s="47">
        <v>1</v>
      </c>
      <c r="Z64" s="47">
        <v>1</v>
      </c>
      <c r="AA64" s="47">
        <v>1</v>
      </c>
      <c r="AB64" s="47">
        <v>1</v>
      </c>
      <c r="AC64" s="47">
        <v>1</v>
      </c>
      <c r="AD64" s="48">
        <v>1</v>
      </c>
      <c r="AE64" s="48">
        <v>1</v>
      </c>
      <c r="AF64" s="47">
        <v>1</v>
      </c>
      <c r="AG64" s="47">
        <v>1</v>
      </c>
      <c r="AH64" s="47">
        <v>1</v>
      </c>
      <c r="AI64" s="47">
        <v>0</v>
      </c>
      <c r="AJ64" s="47">
        <v>0</v>
      </c>
      <c r="AK64" s="48">
        <v>0</v>
      </c>
      <c r="AL64" s="48">
        <v>0</v>
      </c>
      <c r="AM64" s="47">
        <v>0</v>
      </c>
      <c r="AN64" s="47">
        <v>0</v>
      </c>
      <c r="AO64" s="47">
        <v>0</v>
      </c>
      <c r="AP64" s="49">
        <v>0</v>
      </c>
      <c r="OU64" s="50" t="s">
        <v>57</v>
      </c>
    </row>
    <row r="65" ht="16" customHeight="1" spans="1:411" x14ac:dyDescent="0.25">
      <c r="A65" s="64"/>
      <c r="B65" s="35"/>
      <c r="C65" s="36"/>
      <c r="D65" s="37"/>
      <c r="E65" s="45" t="s">
        <v>42</v>
      </c>
      <c r="F65" s="38"/>
      <c r="G65" s="38"/>
      <c r="H65" s="38"/>
      <c r="I65" s="38"/>
      <c r="J65" s="39"/>
      <c r="K65" s="46">
        <v>8</v>
      </c>
      <c r="L65" s="47">
        <v>8</v>
      </c>
      <c r="M65" s="47">
        <v>8</v>
      </c>
      <c r="N65" s="47">
        <v>8</v>
      </c>
      <c r="O65" s="47">
        <v>8</v>
      </c>
      <c r="P65" s="48">
        <v>0</v>
      </c>
      <c r="Q65" s="48">
        <v>0</v>
      </c>
      <c r="R65" s="47">
        <v>8</v>
      </c>
      <c r="S65" s="47">
        <v>8</v>
      </c>
      <c r="T65" s="47">
        <v>8</v>
      </c>
      <c r="U65" s="47">
        <v>12</v>
      </c>
      <c r="V65" s="47">
        <v>12</v>
      </c>
      <c r="W65" s="48">
        <v>12</v>
      </c>
      <c r="X65" s="48">
        <v>12</v>
      </c>
      <c r="Y65" s="47">
        <v>12</v>
      </c>
      <c r="Z65" s="47">
        <v>12</v>
      </c>
      <c r="AA65" s="47">
        <v>12</v>
      </c>
      <c r="AB65" s="47">
        <v>12</v>
      </c>
      <c r="AC65" s="47">
        <v>12</v>
      </c>
      <c r="AD65" s="48">
        <v>12</v>
      </c>
      <c r="AE65" s="48">
        <v>12</v>
      </c>
      <c r="AF65" s="47">
        <v>12</v>
      </c>
      <c r="AG65" s="47">
        <v>12</v>
      </c>
      <c r="AH65" s="47">
        <v>12</v>
      </c>
      <c r="AI65" s="47">
        <v>0</v>
      </c>
      <c r="AJ65" s="47">
        <v>0</v>
      </c>
      <c r="AK65" s="48">
        <v>0</v>
      </c>
      <c r="AL65" s="48">
        <v>0</v>
      </c>
      <c r="AM65" s="47">
        <v>0</v>
      </c>
      <c r="AN65" s="47">
        <v>0</v>
      </c>
      <c r="AO65" s="47">
        <v>0</v>
      </c>
      <c r="AP65" s="49">
        <v>0</v>
      </c>
      <c r="OU65" s="50" t="s">
        <v>57</v>
      </c>
    </row>
    <row r="66" ht="16" customHeight="1" spans="1:411" x14ac:dyDescent="0.25">
      <c r="A66" s="64"/>
      <c r="B66" s="35"/>
      <c r="C66" s="51">
        <f>F63*D66</f>
        <v>16015.68</v>
      </c>
      <c r="D66" s="51">
        <f>'Rate Tables'!C10</f>
        <v>111.22</v>
      </c>
      <c r="E66" s="45" t="s">
        <v>43</v>
      </c>
      <c r="F66" s="38"/>
      <c r="G66" s="38"/>
      <c r="H66" s="38"/>
      <c r="I66" s="38"/>
      <c r="J66" s="39"/>
      <c r="K66" s="52">
        <v>8</v>
      </c>
      <c r="L66" s="53">
        <v>8</v>
      </c>
      <c r="M66" s="53">
        <v>8</v>
      </c>
      <c r="N66" s="53">
        <v>8</v>
      </c>
      <c r="O66" s="53">
        <v>8</v>
      </c>
      <c r="P66" s="54">
        <v>0</v>
      </c>
      <c r="Q66" s="54">
        <v>0</v>
      </c>
      <c r="R66" s="53">
        <v>8</v>
      </c>
      <c r="S66" s="53">
        <v>8</v>
      </c>
      <c r="T66" s="53">
        <v>8</v>
      </c>
      <c r="U66" s="53">
        <v>8</v>
      </c>
      <c r="V66" s="53">
        <v>8</v>
      </c>
      <c r="W66" s="54">
        <v>0</v>
      </c>
      <c r="X66" s="54">
        <v>0</v>
      </c>
      <c r="Y66" s="53">
        <v>8</v>
      </c>
      <c r="Z66" s="53">
        <v>8</v>
      </c>
      <c r="AA66" s="53">
        <v>8</v>
      </c>
      <c r="AB66" s="53">
        <v>8</v>
      </c>
      <c r="AC66" s="53">
        <v>8</v>
      </c>
      <c r="AD66" s="54">
        <v>0</v>
      </c>
      <c r="AE66" s="54">
        <v>0</v>
      </c>
      <c r="AF66" s="53">
        <v>8</v>
      </c>
      <c r="AG66" s="53">
        <v>8</v>
      </c>
      <c r="AH66" s="53">
        <v>8</v>
      </c>
      <c r="AI66" s="53">
        <v>0</v>
      </c>
      <c r="AJ66" s="53">
        <v>0</v>
      </c>
      <c r="AK66" s="54">
        <v>0</v>
      </c>
      <c r="AL66" s="54">
        <v>0</v>
      </c>
      <c r="AM66" s="53">
        <v>0</v>
      </c>
      <c r="AN66" s="53">
        <v>0</v>
      </c>
      <c r="AO66" s="53">
        <v>0</v>
      </c>
      <c r="AP66" s="55">
        <v>0</v>
      </c>
      <c r="OU66" s="44" t="s">
        <v>57</v>
      </c>
    </row>
    <row r="67" ht="16" customHeight="1" spans="1:411" x14ac:dyDescent="0.25">
      <c r="A67" s="64"/>
      <c r="B67" s="35"/>
      <c r="C67" s="56">
        <f>G63*D67</f>
        <v>10003.84</v>
      </c>
      <c r="D67" s="56">
        <f>'Rate Tables'!D10</f>
        <v>156.31</v>
      </c>
      <c r="E67" s="45" t="s">
        <v>44</v>
      </c>
      <c r="F67" s="38"/>
      <c r="G67" s="38"/>
      <c r="H67" s="38"/>
      <c r="I67" s="38"/>
      <c r="J67" s="39"/>
      <c r="K67" s="52">
        <v>0</v>
      </c>
      <c r="L67" s="53">
        <v>0</v>
      </c>
      <c r="M67" s="53">
        <v>0</v>
      </c>
      <c r="N67" s="53">
        <v>0</v>
      </c>
      <c r="O67" s="53">
        <v>0</v>
      </c>
      <c r="P67" s="54">
        <v>0</v>
      </c>
      <c r="Q67" s="54">
        <v>0</v>
      </c>
      <c r="R67" s="53">
        <v>0</v>
      </c>
      <c r="S67" s="53">
        <v>0</v>
      </c>
      <c r="T67" s="53">
        <v>0</v>
      </c>
      <c r="U67" s="53">
        <v>4</v>
      </c>
      <c r="V67" s="53">
        <v>4</v>
      </c>
      <c r="W67" s="54">
        <v>12</v>
      </c>
      <c r="X67" s="54">
        <v>0</v>
      </c>
      <c r="Y67" s="53">
        <v>4</v>
      </c>
      <c r="Z67" s="53">
        <v>4</v>
      </c>
      <c r="AA67" s="53">
        <v>4</v>
      </c>
      <c r="AB67" s="53">
        <v>4</v>
      </c>
      <c r="AC67" s="53">
        <v>4</v>
      </c>
      <c r="AD67" s="54">
        <v>12</v>
      </c>
      <c r="AE67" s="54">
        <v>0</v>
      </c>
      <c r="AF67" s="53">
        <v>4</v>
      </c>
      <c r="AG67" s="53">
        <v>4</v>
      </c>
      <c r="AH67" s="53">
        <v>4</v>
      </c>
      <c r="AI67" s="53">
        <v>0</v>
      </c>
      <c r="AJ67" s="53">
        <v>0</v>
      </c>
      <c r="AK67" s="54">
        <v>0</v>
      </c>
      <c r="AL67" s="54">
        <v>0</v>
      </c>
      <c r="AM67" s="53">
        <v>0</v>
      </c>
      <c r="AN67" s="53">
        <v>0</v>
      </c>
      <c r="AO67" s="53">
        <v>0</v>
      </c>
      <c r="AP67" s="55">
        <v>0</v>
      </c>
      <c r="OU67" s="44" t="s">
        <v>57</v>
      </c>
    </row>
    <row r="68" ht="16" customHeight="1" spans="1:411" x14ac:dyDescent="0.25">
      <c r="A68" s="64"/>
      <c r="B68" s="35"/>
      <c r="C68" s="51">
        <f>H63*D68</f>
        <v>4833.6</v>
      </c>
      <c r="D68" s="51">
        <f>'Rate Tables'!E10</f>
        <v>201.4</v>
      </c>
      <c r="E68" s="45" t="s">
        <v>45</v>
      </c>
      <c r="F68" s="38"/>
      <c r="G68" s="38"/>
      <c r="H68" s="38"/>
      <c r="I68" s="38"/>
      <c r="J68" s="39"/>
      <c r="K68" s="52">
        <v>0</v>
      </c>
      <c r="L68" s="53">
        <v>0</v>
      </c>
      <c r="M68" s="53">
        <v>0</v>
      </c>
      <c r="N68" s="53">
        <v>0</v>
      </c>
      <c r="O68" s="53">
        <v>0</v>
      </c>
      <c r="P68" s="54">
        <v>0</v>
      </c>
      <c r="Q68" s="54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54">
        <v>0</v>
      </c>
      <c r="X68" s="54">
        <v>12</v>
      </c>
      <c r="Y68" s="53">
        <v>0</v>
      </c>
      <c r="Z68" s="53">
        <v>0</v>
      </c>
      <c r="AA68" s="53">
        <v>0</v>
      </c>
      <c r="AB68" s="53">
        <v>0</v>
      </c>
      <c r="AC68" s="53">
        <v>0</v>
      </c>
      <c r="AD68" s="54">
        <v>0</v>
      </c>
      <c r="AE68" s="54">
        <v>12</v>
      </c>
      <c r="AF68" s="53">
        <v>0</v>
      </c>
      <c r="AG68" s="53">
        <v>0</v>
      </c>
      <c r="AH68" s="53">
        <v>0</v>
      </c>
      <c r="AI68" s="53">
        <v>0</v>
      </c>
      <c r="AJ68" s="53">
        <v>0</v>
      </c>
      <c r="AK68" s="54">
        <v>0</v>
      </c>
      <c r="AL68" s="54">
        <v>0</v>
      </c>
      <c r="AM68" s="53">
        <v>0</v>
      </c>
      <c r="AN68" s="53">
        <v>0</v>
      </c>
      <c r="AO68" s="53">
        <v>0</v>
      </c>
      <c r="AP68" s="55">
        <v>0</v>
      </c>
      <c r="OU68" s="44" t="s">
        <v>57</v>
      </c>
    </row>
    <row r="69" ht="16" customHeight="1" spans="1:411" x14ac:dyDescent="0.25">
      <c r="A69" s="64"/>
      <c r="B69" s="35"/>
      <c r="C69" s="57">
        <f>I63*D69</f>
        <v>3080</v>
      </c>
      <c r="D69" s="57">
        <v>140</v>
      </c>
      <c r="E69" s="58" t="s">
        <v>46</v>
      </c>
      <c r="F69" s="38"/>
      <c r="G69" s="38"/>
      <c r="H69" s="38"/>
      <c r="I69" s="38"/>
      <c r="J69" s="39"/>
      <c r="K69" s="59">
        <v>1</v>
      </c>
      <c r="L69" s="60">
        <v>1</v>
      </c>
      <c r="M69" s="60">
        <v>1</v>
      </c>
      <c r="N69" s="60">
        <v>1</v>
      </c>
      <c r="O69" s="60">
        <v>1</v>
      </c>
      <c r="P69" s="61">
        <v>0</v>
      </c>
      <c r="Q69" s="61">
        <v>0</v>
      </c>
      <c r="R69" s="60">
        <v>1</v>
      </c>
      <c r="S69" s="60">
        <v>1</v>
      </c>
      <c r="T69" s="60">
        <v>1</v>
      </c>
      <c r="U69" s="60">
        <v>1</v>
      </c>
      <c r="V69" s="60">
        <v>1</v>
      </c>
      <c r="W69" s="61">
        <v>1</v>
      </c>
      <c r="X69" s="61">
        <v>1</v>
      </c>
      <c r="Y69" s="60">
        <v>1</v>
      </c>
      <c r="Z69" s="60">
        <v>1</v>
      </c>
      <c r="AA69" s="60">
        <v>1</v>
      </c>
      <c r="AB69" s="60">
        <v>1</v>
      </c>
      <c r="AC69" s="60">
        <v>1</v>
      </c>
      <c r="AD69" s="61">
        <v>1</v>
      </c>
      <c r="AE69" s="61">
        <v>1</v>
      </c>
      <c r="AF69" s="60">
        <v>1</v>
      </c>
      <c r="AG69" s="60">
        <v>1</v>
      </c>
      <c r="AH69" s="60">
        <v>1</v>
      </c>
      <c r="AI69" s="60">
        <v>0</v>
      </c>
      <c r="AJ69" s="60">
        <v>0</v>
      </c>
      <c r="AK69" s="61">
        <v>0</v>
      </c>
      <c r="AL69" s="61">
        <v>0</v>
      </c>
      <c r="AM69" s="60">
        <v>0</v>
      </c>
      <c r="AN69" s="60">
        <v>0</v>
      </c>
      <c r="AO69" s="60">
        <v>0</v>
      </c>
      <c r="AP69" s="62">
        <v>0</v>
      </c>
      <c r="OU69" s="50" t="s">
        <v>57</v>
      </c>
    </row>
    <row r="70" ht="16" customHeight="1" spans="1:411" x14ac:dyDescent="0.25">
      <c r="A70" s="16" t="s">
        <v>58</v>
      </c>
      <c r="B70" s="17"/>
      <c r="C70" s="65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65">
        <f>SUM(J7,J15,J23,J31,J39,J47,J55,J63)</f>
        <v>245898.48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</row>
    <row r="2" ht="16" customHeight="1" spans="1: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ht="16" customHeight="1" spans="1: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ht="14" customHeight="1" spans="1:42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19</v>
      </c>
      <c r="L4" s="28"/>
      <c r="M4" s="28"/>
      <c r="N4" s="28"/>
      <c r="O4" s="28"/>
      <c r="P4" s="28"/>
      <c r="Q4" s="28"/>
      <c r="R4" s="28"/>
      <c r="S4" s="28"/>
      <c r="T4" s="28"/>
      <c r="U4" s="29" t="s">
        <v>20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8" t="s">
        <v>21</v>
      </c>
      <c r="AJ4" s="28"/>
      <c r="AK4" s="28"/>
      <c r="AL4" s="28"/>
      <c r="AM4" s="28"/>
      <c r="AN4" s="28"/>
      <c r="AO4" s="28"/>
      <c r="AP4" s="28"/>
    </row>
    <row r="5" ht="14" customHeight="1" spans="1: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0" t="s">
        <v>22</v>
      </c>
      <c r="L5" s="30" t="s">
        <v>23</v>
      </c>
      <c r="M5" s="30" t="s">
        <v>24</v>
      </c>
      <c r="N5" s="30" t="s">
        <v>25</v>
      </c>
      <c r="O5" s="30" t="s">
        <v>26</v>
      </c>
      <c r="P5" s="30" t="s">
        <v>27</v>
      </c>
      <c r="Q5" s="30" t="s">
        <v>28</v>
      </c>
      <c r="R5" s="30" t="s">
        <v>22</v>
      </c>
      <c r="S5" s="30" t="s">
        <v>23</v>
      </c>
      <c r="T5" s="30" t="s">
        <v>24</v>
      </c>
      <c r="U5" s="30" t="s">
        <v>25</v>
      </c>
      <c r="V5" s="30" t="s">
        <v>26</v>
      </c>
      <c r="W5" s="30" t="s">
        <v>27</v>
      </c>
      <c r="X5" s="30" t="s">
        <v>28</v>
      </c>
      <c r="Y5" s="30" t="s">
        <v>22</v>
      </c>
      <c r="Z5" s="30" t="s">
        <v>23</v>
      </c>
      <c r="AA5" s="30" t="s">
        <v>24</v>
      </c>
      <c r="AB5" s="30" t="s">
        <v>25</v>
      </c>
      <c r="AC5" s="30" t="s">
        <v>26</v>
      </c>
      <c r="AD5" s="30" t="s">
        <v>27</v>
      </c>
      <c r="AE5" s="30" t="s">
        <v>28</v>
      </c>
      <c r="AF5" s="30" t="s">
        <v>22</v>
      </c>
      <c r="AG5" s="30" t="s">
        <v>23</v>
      </c>
      <c r="AH5" s="30" t="s">
        <v>24</v>
      </c>
      <c r="AI5" s="30" t="s">
        <v>25</v>
      </c>
      <c r="AJ5" s="30" t="s">
        <v>26</v>
      </c>
      <c r="AK5" s="30" t="s">
        <v>27</v>
      </c>
      <c r="AL5" s="30" t="s">
        <v>28</v>
      </c>
      <c r="AM5" s="30" t="s">
        <v>22</v>
      </c>
      <c r="AN5" s="30" t="s">
        <v>23</v>
      </c>
      <c r="AO5" s="30" t="s">
        <v>24</v>
      </c>
      <c r="AP5" s="30" t="s">
        <v>25</v>
      </c>
    </row>
    <row r="6" ht="22" customHeight="1" spans="1:42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10</v>
      </c>
      <c r="K6" s="32">
        <v>46286</v>
      </c>
      <c r="L6" s="32">
        <f>K6+1</f>
        <v>46287</v>
      </c>
      <c r="M6" s="32">
        <f>L6+1</f>
        <v>46288</v>
      </c>
      <c r="N6" s="32">
        <f>M6+1</f>
        <v>46289</v>
      </c>
      <c r="O6" s="32">
        <f>N6+1</f>
        <v>46290</v>
      </c>
      <c r="P6" s="33">
        <f>O6+1</f>
        <v>46291</v>
      </c>
      <c r="Q6" s="33">
        <f>P6+1</f>
        <v>46292</v>
      </c>
      <c r="R6" s="32">
        <f>Q6+1</f>
        <v>46293</v>
      </c>
      <c r="S6" s="32">
        <f>R6+1</f>
        <v>46294</v>
      </c>
      <c r="T6" s="32">
        <f>S6+1</f>
        <v>46295</v>
      </c>
      <c r="U6" s="32">
        <f>T6+1</f>
        <v>46296</v>
      </c>
      <c r="V6" s="32">
        <f>U6+1</f>
        <v>46297</v>
      </c>
      <c r="W6" s="33">
        <f>V6+1</f>
        <v>46298</v>
      </c>
      <c r="X6" s="33">
        <f>W6+1</f>
        <v>46299</v>
      </c>
      <c r="Y6" s="32">
        <f>X6+1</f>
        <v>46300</v>
      </c>
      <c r="Z6" s="32">
        <f>Y6+1</f>
        <v>46301</v>
      </c>
      <c r="AA6" s="32">
        <f>Z6+1</f>
        <v>46302</v>
      </c>
      <c r="AB6" s="32">
        <f>AA6+1</f>
        <v>46303</v>
      </c>
      <c r="AC6" s="32">
        <f>AB6+1</f>
        <v>46304</v>
      </c>
      <c r="AD6" s="33">
        <f>AC6+1</f>
        <v>46305</v>
      </c>
      <c r="AE6" s="33">
        <f>AD6+1</f>
        <v>46306</v>
      </c>
      <c r="AF6" s="32">
        <f>AE6+1</f>
        <v>46307</v>
      </c>
      <c r="AG6" s="32">
        <f>AF6+1</f>
        <v>46308</v>
      </c>
      <c r="AH6" s="32">
        <f>AG6+1</f>
        <v>46309</v>
      </c>
      <c r="AI6" s="32">
        <f>AH6+1</f>
        <v>46310</v>
      </c>
      <c r="AJ6" s="32">
        <f>AI6+1</f>
        <v>46311</v>
      </c>
      <c r="AK6" s="33">
        <f>AJ6+1</f>
        <v>46312</v>
      </c>
      <c r="AL6" s="33">
        <f>AK6+1</f>
        <v>46313</v>
      </c>
      <c r="AM6" s="32">
        <f>AL6+1</f>
        <v>46314</v>
      </c>
      <c r="AN6" s="32">
        <f>AM6+1</f>
        <v>46315</v>
      </c>
      <c r="AO6" s="32">
        <f>AN6+1</f>
        <v>46316</v>
      </c>
      <c r="AP6" s="32">
        <f>AO6+1</f>
        <v>46317</v>
      </c>
    </row>
    <row r="7" ht="16" customHeight="1" spans="1:411" x14ac:dyDescent="0.25">
      <c r="A7" s="34" t="s">
        <v>38</v>
      </c>
      <c r="B7" s="35" t="s">
        <v>59</v>
      </c>
      <c r="C7" s="36">
        <f>J7</f>
        <v>63360.64</v>
      </c>
      <c r="D7" s="37"/>
      <c r="E7" s="37"/>
      <c r="F7" s="38">
        <f>SUM(K10:AP10)</f>
        <v>336</v>
      </c>
      <c r="G7" s="38">
        <f>SUM(K11:AP11)</f>
        <v>128</v>
      </c>
      <c r="H7" s="38">
        <f>SUM(K12:AP12)</f>
        <v>48</v>
      </c>
      <c r="I7" s="38">
        <f>SUM(K13:AP13)</f>
        <v>50</v>
      </c>
      <c r="J7" s="39">
        <f>C10+C11+C12</f>
        <v>63360.64</v>
      </c>
      <c r="K7" s="40"/>
      <c r="L7" s="41"/>
      <c r="M7" s="41"/>
      <c r="N7" s="41"/>
      <c r="O7" s="41"/>
      <c r="P7" s="42"/>
      <c r="Q7" s="42"/>
      <c r="R7" s="41"/>
      <c r="S7" s="41"/>
      <c r="T7" s="41"/>
      <c r="U7" s="41"/>
      <c r="V7" s="41"/>
      <c r="W7" s="42"/>
      <c r="X7" s="42"/>
      <c r="Y7" s="41"/>
      <c r="Z7" s="41"/>
      <c r="AA7" s="41"/>
      <c r="AB7" s="41"/>
      <c r="AC7" s="41"/>
      <c r="AD7" s="42"/>
      <c r="AE7" s="42"/>
      <c r="AF7" s="41"/>
      <c r="AG7" s="41"/>
      <c r="AH7" s="41"/>
      <c r="AI7" s="41"/>
      <c r="AJ7" s="41"/>
      <c r="AK7" s="42"/>
      <c r="AL7" s="42"/>
      <c r="AM7" s="41"/>
      <c r="AN7" s="41"/>
      <c r="AO7" s="41"/>
      <c r="AP7" s="43"/>
      <c r="OU7" s="44" t="s">
        <v>60</v>
      </c>
    </row>
    <row r="8" ht="16" customHeight="1" spans="1:411" x14ac:dyDescent="0.25">
      <c r="A8" s="34"/>
      <c r="B8" s="35"/>
      <c r="C8" s="36"/>
      <c r="D8" s="37"/>
      <c r="E8" s="45" t="s">
        <v>41</v>
      </c>
      <c r="F8" s="38"/>
      <c r="G8" s="38"/>
      <c r="H8" s="38"/>
      <c r="I8" s="38"/>
      <c r="J8" s="39"/>
      <c r="K8" s="46">
        <v>2</v>
      </c>
      <c r="L8" s="47">
        <v>2</v>
      </c>
      <c r="M8" s="47">
        <v>2</v>
      </c>
      <c r="N8" s="47">
        <v>2</v>
      </c>
      <c r="O8" s="47">
        <v>2</v>
      </c>
      <c r="P8" s="48">
        <v>0</v>
      </c>
      <c r="Q8" s="48">
        <v>0</v>
      </c>
      <c r="R8" s="47">
        <v>2</v>
      </c>
      <c r="S8" s="47">
        <v>2</v>
      </c>
      <c r="T8" s="47">
        <v>2</v>
      </c>
      <c r="U8" s="47">
        <v>2</v>
      </c>
      <c r="V8" s="47">
        <v>2</v>
      </c>
      <c r="W8" s="48">
        <v>2</v>
      </c>
      <c r="X8" s="48">
        <v>2</v>
      </c>
      <c r="Y8" s="47">
        <v>2</v>
      </c>
      <c r="Z8" s="47">
        <v>2</v>
      </c>
      <c r="AA8" s="47">
        <v>2</v>
      </c>
      <c r="AB8" s="47">
        <v>2</v>
      </c>
      <c r="AC8" s="47">
        <v>2</v>
      </c>
      <c r="AD8" s="48">
        <v>2</v>
      </c>
      <c r="AE8" s="48">
        <v>2</v>
      </c>
      <c r="AF8" s="47">
        <v>2</v>
      </c>
      <c r="AG8" s="47">
        <v>2</v>
      </c>
      <c r="AH8" s="47">
        <v>2</v>
      </c>
      <c r="AI8" s="47">
        <v>1</v>
      </c>
      <c r="AJ8" s="47">
        <v>1</v>
      </c>
      <c r="AK8" s="48">
        <v>0</v>
      </c>
      <c r="AL8" s="48">
        <v>0</v>
      </c>
      <c r="AM8" s="47">
        <v>1</v>
      </c>
      <c r="AN8" s="47">
        <v>1</v>
      </c>
      <c r="AO8" s="47">
        <v>1</v>
      </c>
      <c r="AP8" s="49">
        <v>1</v>
      </c>
      <c r="OU8" s="50" t="s">
        <v>60</v>
      </c>
    </row>
    <row r="9" ht="16" customHeight="1" spans="1:411" x14ac:dyDescent="0.25">
      <c r="A9" s="34"/>
      <c r="B9" s="35"/>
      <c r="C9" s="36"/>
      <c r="D9" s="37"/>
      <c r="E9" s="45" t="s">
        <v>42</v>
      </c>
      <c r="F9" s="38"/>
      <c r="G9" s="38"/>
      <c r="H9" s="38"/>
      <c r="I9" s="38"/>
      <c r="J9" s="39"/>
      <c r="K9" s="46">
        <v>8</v>
      </c>
      <c r="L9" s="47">
        <v>8</v>
      </c>
      <c r="M9" s="47">
        <v>8</v>
      </c>
      <c r="N9" s="47">
        <v>8</v>
      </c>
      <c r="O9" s="47">
        <v>8</v>
      </c>
      <c r="P9" s="48">
        <v>0</v>
      </c>
      <c r="Q9" s="48">
        <v>0</v>
      </c>
      <c r="R9" s="47">
        <v>8</v>
      </c>
      <c r="S9" s="47">
        <v>8</v>
      </c>
      <c r="T9" s="47">
        <v>8</v>
      </c>
      <c r="U9" s="47">
        <v>12</v>
      </c>
      <c r="V9" s="47">
        <v>12</v>
      </c>
      <c r="W9" s="48">
        <v>12</v>
      </c>
      <c r="X9" s="48">
        <v>12</v>
      </c>
      <c r="Y9" s="47">
        <v>12</v>
      </c>
      <c r="Z9" s="47">
        <v>12</v>
      </c>
      <c r="AA9" s="47">
        <v>12</v>
      </c>
      <c r="AB9" s="47">
        <v>12</v>
      </c>
      <c r="AC9" s="47">
        <v>12</v>
      </c>
      <c r="AD9" s="48">
        <v>12</v>
      </c>
      <c r="AE9" s="48">
        <v>12</v>
      </c>
      <c r="AF9" s="47">
        <v>12</v>
      </c>
      <c r="AG9" s="47">
        <v>12</v>
      </c>
      <c r="AH9" s="47">
        <v>12</v>
      </c>
      <c r="AI9" s="47">
        <v>8</v>
      </c>
      <c r="AJ9" s="47">
        <v>8</v>
      </c>
      <c r="AK9" s="48">
        <v>0</v>
      </c>
      <c r="AL9" s="48">
        <v>0</v>
      </c>
      <c r="AM9" s="47">
        <v>8</v>
      </c>
      <c r="AN9" s="47">
        <v>8</v>
      </c>
      <c r="AO9" s="47">
        <v>8</v>
      </c>
      <c r="AP9" s="49">
        <v>8</v>
      </c>
      <c r="OU9" s="50" t="s">
        <v>60</v>
      </c>
    </row>
    <row r="10" ht="16" customHeight="1" spans="1:411" x14ac:dyDescent="0.25">
      <c r="A10" s="34"/>
      <c r="B10" s="35"/>
      <c r="C10" s="51">
        <f>F7*D10</f>
        <v>35374.08</v>
      </c>
      <c r="D10" s="51">
        <f>'Rate Tables'!C11</f>
        <v>105.28</v>
      </c>
      <c r="E10" s="45" t="s">
        <v>43</v>
      </c>
      <c r="F10" s="38"/>
      <c r="G10" s="38"/>
      <c r="H10" s="38"/>
      <c r="I10" s="38"/>
      <c r="J10" s="39"/>
      <c r="K10" s="52">
        <v>16</v>
      </c>
      <c r="L10" s="53">
        <v>16</v>
      </c>
      <c r="M10" s="53">
        <v>16</v>
      </c>
      <c r="N10" s="53">
        <v>16</v>
      </c>
      <c r="O10" s="53">
        <v>16</v>
      </c>
      <c r="P10" s="54">
        <v>0</v>
      </c>
      <c r="Q10" s="54">
        <v>0</v>
      </c>
      <c r="R10" s="53">
        <v>16</v>
      </c>
      <c r="S10" s="53">
        <v>16</v>
      </c>
      <c r="T10" s="53">
        <v>16</v>
      </c>
      <c r="U10" s="53">
        <v>16</v>
      </c>
      <c r="V10" s="53">
        <v>16</v>
      </c>
      <c r="W10" s="54">
        <v>0</v>
      </c>
      <c r="X10" s="54">
        <v>0</v>
      </c>
      <c r="Y10" s="53">
        <v>16</v>
      </c>
      <c r="Z10" s="53">
        <v>16</v>
      </c>
      <c r="AA10" s="53">
        <v>16</v>
      </c>
      <c r="AB10" s="53">
        <v>16</v>
      </c>
      <c r="AC10" s="53">
        <v>16</v>
      </c>
      <c r="AD10" s="54">
        <v>0</v>
      </c>
      <c r="AE10" s="54">
        <v>0</v>
      </c>
      <c r="AF10" s="53">
        <v>16</v>
      </c>
      <c r="AG10" s="53">
        <v>16</v>
      </c>
      <c r="AH10" s="53">
        <v>16</v>
      </c>
      <c r="AI10" s="53">
        <v>8</v>
      </c>
      <c r="AJ10" s="53">
        <v>8</v>
      </c>
      <c r="AK10" s="54">
        <v>0</v>
      </c>
      <c r="AL10" s="54">
        <v>0</v>
      </c>
      <c r="AM10" s="53">
        <v>8</v>
      </c>
      <c r="AN10" s="53">
        <v>8</v>
      </c>
      <c r="AO10" s="53">
        <v>8</v>
      </c>
      <c r="AP10" s="55">
        <v>8</v>
      </c>
      <c r="OU10" s="44" t="s">
        <v>60</v>
      </c>
    </row>
    <row r="11" ht="16" customHeight="1" spans="1:411" x14ac:dyDescent="0.25">
      <c r="A11" s="34"/>
      <c r="B11" s="35"/>
      <c r="C11" s="56">
        <f>G7*D11</f>
        <v>18880</v>
      </c>
      <c r="D11" s="56">
        <f>'Rate Tables'!D11</f>
        <v>147.5</v>
      </c>
      <c r="E11" s="45" t="s">
        <v>44</v>
      </c>
      <c r="F11" s="38"/>
      <c r="G11" s="38"/>
      <c r="H11" s="38"/>
      <c r="I11" s="38"/>
      <c r="J11" s="39"/>
      <c r="K11" s="52">
        <v>0</v>
      </c>
      <c r="L11" s="53">
        <v>0</v>
      </c>
      <c r="M11" s="53">
        <v>0</v>
      </c>
      <c r="N11" s="53">
        <v>0</v>
      </c>
      <c r="O11" s="53">
        <v>0</v>
      </c>
      <c r="P11" s="54">
        <v>0</v>
      </c>
      <c r="Q11" s="54">
        <v>0</v>
      </c>
      <c r="R11" s="53">
        <v>0</v>
      </c>
      <c r="S11" s="53">
        <v>0</v>
      </c>
      <c r="T11" s="53">
        <v>0</v>
      </c>
      <c r="U11" s="53">
        <v>8</v>
      </c>
      <c r="V11" s="53">
        <v>8</v>
      </c>
      <c r="W11" s="54">
        <v>24</v>
      </c>
      <c r="X11" s="54">
        <v>0</v>
      </c>
      <c r="Y11" s="53">
        <v>8</v>
      </c>
      <c r="Z11" s="53">
        <v>8</v>
      </c>
      <c r="AA11" s="53">
        <v>8</v>
      </c>
      <c r="AB11" s="53">
        <v>8</v>
      </c>
      <c r="AC11" s="53">
        <v>8</v>
      </c>
      <c r="AD11" s="54">
        <v>24</v>
      </c>
      <c r="AE11" s="54">
        <v>0</v>
      </c>
      <c r="AF11" s="53">
        <v>8</v>
      </c>
      <c r="AG11" s="53">
        <v>8</v>
      </c>
      <c r="AH11" s="53">
        <v>8</v>
      </c>
      <c r="AI11" s="53">
        <v>0</v>
      </c>
      <c r="AJ11" s="53">
        <v>0</v>
      </c>
      <c r="AK11" s="54">
        <v>0</v>
      </c>
      <c r="AL11" s="54">
        <v>0</v>
      </c>
      <c r="AM11" s="53">
        <v>0</v>
      </c>
      <c r="AN11" s="53">
        <v>0</v>
      </c>
      <c r="AO11" s="53">
        <v>0</v>
      </c>
      <c r="AP11" s="55">
        <v>0</v>
      </c>
      <c r="OU11" s="44" t="s">
        <v>60</v>
      </c>
    </row>
    <row r="12" ht="16" customHeight="1" spans="1:411" x14ac:dyDescent="0.25">
      <c r="A12" s="34"/>
      <c r="B12" s="35"/>
      <c r="C12" s="51">
        <f>H7*D12</f>
        <v>9106.56</v>
      </c>
      <c r="D12" s="51">
        <f>'Rate Tables'!E11</f>
        <v>189.72</v>
      </c>
      <c r="E12" s="45" t="s">
        <v>45</v>
      </c>
      <c r="F12" s="38"/>
      <c r="G12" s="38"/>
      <c r="H12" s="38"/>
      <c r="I12" s="38"/>
      <c r="J12" s="39"/>
      <c r="K12" s="52">
        <v>0</v>
      </c>
      <c r="L12" s="53">
        <v>0</v>
      </c>
      <c r="M12" s="53">
        <v>0</v>
      </c>
      <c r="N12" s="53">
        <v>0</v>
      </c>
      <c r="O12" s="53">
        <v>0</v>
      </c>
      <c r="P12" s="54">
        <v>0</v>
      </c>
      <c r="Q12" s="54">
        <v>0</v>
      </c>
      <c r="R12" s="53">
        <v>0</v>
      </c>
      <c r="S12" s="53">
        <v>0</v>
      </c>
      <c r="T12" s="53">
        <v>0</v>
      </c>
      <c r="U12" s="53">
        <v>0</v>
      </c>
      <c r="V12" s="53">
        <v>0</v>
      </c>
      <c r="W12" s="54">
        <v>0</v>
      </c>
      <c r="X12" s="54">
        <v>24</v>
      </c>
      <c r="Y12" s="53">
        <v>0</v>
      </c>
      <c r="Z12" s="53">
        <v>0</v>
      </c>
      <c r="AA12" s="53">
        <v>0</v>
      </c>
      <c r="AB12" s="53">
        <v>0</v>
      </c>
      <c r="AC12" s="53">
        <v>0</v>
      </c>
      <c r="AD12" s="54">
        <v>0</v>
      </c>
      <c r="AE12" s="54">
        <v>24</v>
      </c>
      <c r="AF12" s="53">
        <v>0</v>
      </c>
      <c r="AG12" s="53">
        <v>0</v>
      </c>
      <c r="AH12" s="53">
        <v>0</v>
      </c>
      <c r="AI12" s="53">
        <v>0</v>
      </c>
      <c r="AJ12" s="53">
        <v>0</v>
      </c>
      <c r="AK12" s="54">
        <v>0</v>
      </c>
      <c r="AL12" s="54">
        <v>0</v>
      </c>
      <c r="AM12" s="53">
        <v>0</v>
      </c>
      <c r="AN12" s="53">
        <v>0</v>
      </c>
      <c r="AO12" s="53">
        <v>0</v>
      </c>
      <c r="AP12" s="55">
        <v>0</v>
      </c>
      <c r="OU12" s="44" t="s">
        <v>60</v>
      </c>
    </row>
    <row r="13" ht="16" customHeight="1" spans="1:411" x14ac:dyDescent="0.25">
      <c r="A13" s="34"/>
      <c r="B13" s="35"/>
      <c r="C13" s="57">
        <f>I7*D13</f>
        <v>6500</v>
      </c>
      <c r="D13" s="57">
        <v>130</v>
      </c>
      <c r="E13" s="58" t="s">
        <v>46</v>
      </c>
      <c r="F13" s="38"/>
      <c r="G13" s="38"/>
      <c r="H13" s="38"/>
      <c r="I13" s="38"/>
      <c r="J13" s="39"/>
      <c r="K13" s="59">
        <v>2</v>
      </c>
      <c r="L13" s="60">
        <v>2</v>
      </c>
      <c r="M13" s="60">
        <v>2</v>
      </c>
      <c r="N13" s="60">
        <v>2</v>
      </c>
      <c r="O13" s="60">
        <v>2</v>
      </c>
      <c r="P13" s="61">
        <v>0</v>
      </c>
      <c r="Q13" s="61">
        <v>0</v>
      </c>
      <c r="R13" s="60">
        <v>2</v>
      </c>
      <c r="S13" s="60">
        <v>2</v>
      </c>
      <c r="T13" s="60">
        <v>2</v>
      </c>
      <c r="U13" s="60">
        <v>2</v>
      </c>
      <c r="V13" s="60">
        <v>2</v>
      </c>
      <c r="W13" s="61">
        <v>2</v>
      </c>
      <c r="X13" s="61">
        <v>2</v>
      </c>
      <c r="Y13" s="60">
        <v>2</v>
      </c>
      <c r="Z13" s="60">
        <v>2</v>
      </c>
      <c r="AA13" s="60">
        <v>2</v>
      </c>
      <c r="AB13" s="60">
        <v>2</v>
      </c>
      <c r="AC13" s="60">
        <v>2</v>
      </c>
      <c r="AD13" s="61">
        <v>2</v>
      </c>
      <c r="AE13" s="61">
        <v>2</v>
      </c>
      <c r="AF13" s="60">
        <v>2</v>
      </c>
      <c r="AG13" s="60">
        <v>2</v>
      </c>
      <c r="AH13" s="60">
        <v>2</v>
      </c>
      <c r="AI13" s="60">
        <v>1</v>
      </c>
      <c r="AJ13" s="60">
        <v>1</v>
      </c>
      <c r="AK13" s="61">
        <v>0</v>
      </c>
      <c r="AL13" s="61">
        <v>0</v>
      </c>
      <c r="AM13" s="60">
        <v>1</v>
      </c>
      <c r="AN13" s="60">
        <v>1</v>
      </c>
      <c r="AO13" s="60">
        <v>1</v>
      </c>
      <c r="AP13" s="62">
        <v>1</v>
      </c>
      <c r="OU13" s="50" t="s">
        <v>60</v>
      </c>
    </row>
    <row r="14" ht="8" customHeight="1" spans="1:42" x14ac:dyDescent="0.25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</row>
    <row r="15" ht="16" customHeight="1" spans="1:411" x14ac:dyDescent="0.25">
      <c r="A15" s="64" t="s">
        <v>47</v>
      </c>
      <c r="B15" s="35" t="s">
        <v>59</v>
      </c>
      <c r="C15" s="36">
        <f>J15</f>
        <v>58307.2</v>
      </c>
      <c r="D15" s="37"/>
      <c r="E15" s="37"/>
      <c r="F15" s="38">
        <f>SUM(K18:AP18)</f>
        <v>288</v>
      </c>
      <c r="G15" s="38">
        <f>SUM(K19:AP19)</f>
        <v>128</v>
      </c>
      <c r="H15" s="38">
        <f>SUM(K20:AP20)</f>
        <v>48</v>
      </c>
      <c r="I15" s="38">
        <f>SUM(K21:AP21)</f>
        <v>44</v>
      </c>
      <c r="J15" s="39">
        <f>C18+C19+C20</f>
        <v>58307.2</v>
      </c>
      <c r="K15" s="40"/>
      <c r="L15" s="41"/>
      <c r="M15" s="41"/>
      <c r="N15" s="41"/>
      <c r="O15" s="41"/>
      <c r="P15" s="42"/>
      <c r="Q15" s="42"/>
      <c r="R15" s="41"/>
      <c r="S15" s="41"/>
      <c r="T15" s="41"/>
      <c r="U15" s="41"/>
      <c r="V15" s="41"/>
      <c r="W15" s="42"/>
      <c r="X15" s="42"/>
      <c r="Y15" s="41"/>
      <c r="Z15" s="41"/>
      <c r="AA15" s="41"/>
      <c r="AB15" s="41"/>
      <c r="AC15" s="41"/>
      <c r="AD15" s="42"/>
      <c r="AE15" s="42"/>
      <c r="AF15" s="41"/>
      <c r="AG15" s="41"/>
      <c r="AH15" s="41"/>
      <c r="AI15" s="41"/>
      <c r="AJ15" s="41"/>
      <c r="AK15" s="42"/>
      <c r="AL15" s="42"/>
      <c r="AM15" s="41"/>
      <c r="AN15" s="41"/>
      <c r="AO15" s="41"/>
      <c r="AP15" s="43"/>
      <c r="OU15" s="44" t="s">
        <v>61</v>
      </c>
    </row>
    <row r="16" ht="16" customHeight="1" spans="1:411" x14ac:dyDescent="0.25">
      <c r="A16" s="64"/>
      <c r="B16" s="35"/>
      <c r="C16" s="36"/>
      <c r="D16" s="37"/>
      <c r="E16" s="45" t="s">
        <v>41</v>
      </c>
      <c r="F16" s="38"/>
      <c r="G16" s="38"/>
      <c r="H16" s="38"/>
      <c r="I16" s="38"/>
      <c r="J16" s="39"/>
      <c r="K16" s="46">
        <v>2</v>
      </c>
      <c r="L16" s="47">
        <v>2</v>
      </c>
      <c r="M16" s="47">
        <v>2</v>
      </c>
      <c r="N16" s="47">
        <v>2</v>
      </c>
      <c r="O16" s="47">
        <v>2</v>
      </c>
      <c r="P16" s="48">
        <v>0</v>
      </c>
      <c r="Q16" s="48">
        <v>0</v>
      </c>
      <c r="R16" s="47">
        <v>2</v>
      </c>
      <c r="S16" s="47">
        <v>2</v>
      </c>
      <c r="T16" s="47">
        <v>2</v>
      </c>
      <c r="U16" s="47">
        <v>2</v>
      </c>
      <c r="V16" s="47">
        <v>2</v>
      </c>
      <c r="W16" s="48">
        <v>2</v>
      </c>
      <c r="X16" s="48">
        <v>2</v>
      </c>
      <c r="Y16" s="47">
        <v>2</v>
      </c>
      <c r="Z16" s="47">
        <v>2</v>
      </c>
      <c r="AA16" s="47">
        <v>2</v>
      </c>
      <c r="AB16" s="47">
        <v>2</v>
      </c>
      <c r="AC16" s="47">
        <v>2</v>
      </c>
      <c r="AD16" s="48">
        <v>2</v>
      </c>
      <c r="AE16" s="48">
        <v>2</v>
      </c>
      <c r="AF16" s="47">
        <v>2</v>
      </c>
      <c r="AG16" s="47">
        <v>2</v>
      </c>
      <c r="AH16" s="47">
        <v>2</v>
      </c>
      <c r="AI16" s="47">
        <v>0</v>
      </c>
      <c r="AJ16" s="47">
        <v>0</v>
      </c>
      <c r="AK16" s="48">
        <v>0</v>
      </c>
      <c r="AL16" s="48">
        <v>0</v>
      </c>
      <c r="AM16" s="47">
        <v>0</v>
      </c>
      <c r="AN16" s="47">
        <v>0</v>
      </c>
      <c r="AO16" s="47">
        <v>0</v>
      </c>
      <c r="AP16" s="49">
        <v>0</v>
      </c>
      <c r="OU16" s="50" t="s">
        <v>61</v>
      </c>
    </row>
    <row r="17" ht="16" customHeight="1" spans="1:411" x14ac:dyDescent="0.25">
      <c r="A17" s="64"/>
      <c r="B17" s="35"/>
      <c r="C17" s="36"/>
      <c r="D17" s="37"/>
      <c r="E17" s="45" t="s">
        <v>42</v>
      </c>
      <c r="F17" s="38"/>
      <c r="G17" s="38"/>
      <c r="H17" s="38"/>
      <c r="I17" s="38"/>
      <c r="J17" s="39"/>
      <c r="K17" s="46">
        <v>8</v>
      </c>
      <c r="L17" s="47">
        <v>8</v>
      </c>
      <c r="M17" s="47">
        <v>8</v>
      </c>
      <c r="N17" s="47">
        <v>8</v>
      </c>
      <c r="O17" s="47">
        <v>8</v>
      </c>
      <c r="P17" s="48">
        <v>0</v>
      </c>
      <c r="Q17" s="48">
        <v>0</v>
      </c>
      <c r="R17" s="47">
        <v>8</v>
      </c>
      <c r="S17" s="47">
        <v>8</v>
      </c>
      <c r="T17" s="47">
        <v>8</v>
      </c>
      <c r="U17" s="47">
        <v>12</v>
      </c>
      <c r="V17" s="47">
        <v>12</v>
      </c>
      <c r="W17" s="48">
        <v>12</v>
      </c>
      <c r="X17" s="48">
        <v>12</v>
      </c>
      <c r="Y17" s="47">
        <v>12</v>
      </c>
      <c r="Z17" s="47">
        <v>12</v>
      </c>
      <c r="AA17" s="47">
        <v>12</v>
      </c>
      <c r="AB17" s="47">
        <v>12</v>
      </c>
      <c r="AC17" s="47">
        <v>12</v>
      </c>
      <c r="AD17" s="48">
        <v>12</v>
      </c>
      <c r="AE17" s="48">
        <v>12</v>
      </c>
      <c r="AF17" s="47">
        <v>12</v>
      </c>
      <c r="AG17" s="47">
        <v>12</v>
      </c>
      <c r="AH17" s="47">
        <v>12</v>
      </c>
      <c r="AI17" s="47">
        <v>0</v>
      </c>
      <c r="AJ17" s="47">
        <v>0</v>
      </c>
      <c r="AK17" s="48">
        <v>0</v>
      </c>
      <c r="AL17" s="48">
        <v>0</v>
      </c>
      <c r="AM17" s="47">
        <v>0</v>
      </c>
      <c r="AN17" s="47">
        <v>0</v>
      </c>
      <c r="AO17" s="47">
        <v>0</v>
      </c>
      <c r="AP17" s="49">
        <v>0</v>
      </c>
      <c r="OU17" s="50" t="s">
        <v>61</v>
      </c>
    </row>
    <row r="18" ht="16" customHeight="1" spans="1:411" x14ac:dyDescent="0.25">
      <c r="A18" s="64"/>
      <c r="B18" s="35"/>
      <c r="C18" s="51">
        <f>F15*D18</f>
        <v>30320.64</v>
      </c>
      <c r="D18" s="51">
        <f>'Rate Tables'!C11</f>
        <v>105.28</v>
      </c>
      <c r="E18" s="45" t="s">
        <v>43</v>
      </c>
      <c r="F18" s="38"/>
      <c r="G18" s="38"/>
      <c r="H18" s="38"/>
      <c r="I18" s="38"/>
      <c r="J18" s="39"/>
      <c r="K18" s="52">
        <v>16</v>
      </c>
      <c r="L18" s="53">
        <v>16</v>
      </c>
      <c r="M18" s="53">
        <v>16</v>
      </c>
      <c r="N18" s="53">
        <v>16</v>
      </c>
      <c r="O18" s="53">
        <v>16</v>
      </c>
      <c r="P18" s="54">
        <v>0</v>
      </c>
      <c r="Q18" s="54">
        <v>0</v>
      </c>
      <c r="R18" s="53">
        <v>16</v>
      </c>
      <c r="S18" s="53">
        <v>16</v>
      </c>
      <c r="T18" s="53">
        <v>16</v>
      </c>
      <c r="U18" s="53">
        <v>16</v>
      </c>
      <c r="V18" s="53">
        <v>16</v>
      </c>
      <c r="W18" s="54">
        <v>0</v>
      </c>
      <c r="X18" s="54">
        <v>0</v>
      </c>
      <c r="Y18" s="53">
        <v>16</v>
      </c>
      <c r="Z18" s="53">
        <v>16</v>
      </c>
      <c r="AA18" s="53">
        <v>16</v>
      </c>
      <c r="AB18" s="53">
        <v>16</v>
      </c>
      <c r="AC18" s="53">
        <v>16</v>
      </c>
      <c r="AD18" s="54">
        <v>0</v>
      </c>
      <c r="AE18" s="54">
        <v>0</v>
      </c>
      <c r="AF18" s="53">
        <v>16</v>
      </c>
      <c r="AG18" s="53">
        <v>16</v>
      </c>
      <c r="AH18" s="53">
        <v>16</v>
      </c>
      <c r="AI18" s="53">
        <v>0</v>
      </c>
      <c r="AJ18" s="53">
        <v>0</v>
      </c>
      <c r="AK18" s="54">
        <v>0</v>
      </c>
      <c r="AL18" s="54">
        <v>0</v>
      </c>
      <c r="AM18" s="53">
        <v>0</v>
      </c>
      <c r="AN18" s="53">
        <v>0</v>
      </c>
      <c r="AO18" s="53">
        <v>0</v>
      </c>
      <c r="AP18" s="55">
        <v>0</v>
      </c>
      <c r="OU18" s="44" t="s">
        <v>61</v>
      </c>
    </row>
    <row r="19" ht="16" customHeight="1" spans="1:411" x14ac:dyDescent="0.25">
      <c r="A19" s="64"/>
      <c r="B19" s="35"/>
      <c r="C19" s="56">
        <f>G15*D19</f>
        <v>18880</v>
      </c>
      <c r="D19" s="56">
        <f>'Rate Tables'!D11</f>
        <v>147.5</v>
      </c>
      <c r="E19" s="45" t="s">
        <v>44</v>
      </c>
      <c r="F19" s="38"/>
      <c r="G19" s="38"/>
      <c r="H19" s="38"/>
      <c r="I19" s="38"/>
      <c r="J19" s="39"/>
      <c r="K19" s="52">
        <v>0</v>
      </c>
      <c r="L19" s="53">
        <v>0</v>
      </c>
      <c r="M19" s="53">
        <v>0</v>
      </c>
      <c r="N19" s="53">
        <v>0</v>
      </c>
      <c r="O19" s="53">
        <v>0</v>
      </c>
      <c r="P19" s="54">
        <v>0</v>
      </c>
      <c r="Q19" s="54">
        <v>0</v>
      </c>
      <c r="R19" s="53">
        <v>0</v>
      </c>
      <c r="S19" s="53">
        <v>0</v>
      </c>
      <c r="T19" s="53">
        <v>0</v>
      </c>
      <c r="U19" s="53">
        <v>8</v>
      </c>
      <c r="V19" s="53">
        <v>8</v>
      </c>
      <c r="W19" s="54">
        <v>24</v>
      </c>
      <c r="X19" s="54">
        <v>0</v>
      </c>
      <c r="Y19" s="53">
        <v>8</v>
      </c>
      <c r="Z19" s="53">
        <v>8</v>
      </c>
      <c r="AA19" s="53">
        <v>8</v>
      </c>
      <c r="AB19" s="53">
        <v>8</v>
      </c>
      <c r="AC19" s="53">
        <v>8</v>
      </c>
      <c r="AD19" s="54">
        <v>24</v>
      </c>
      <c r="AE19" s="54">
        <v>0</v>
      </c>
      <c r="AF19" s="53">
        <v>8</v>
      </c>
      <c r="AG19" s="53">
        <v>8</v>
      </c>
      <c r="AH19" s="53">
        <v>8</v>
      </c>
      <c r="AI19" s="53">
        <v>0</v>
      </c>
      <c r="AJ19" s="53">
        <v>0</v>
      </c>
      <c r="AK19" s="54">
        <v>0</v>
      </c>
      <c r="AL19" s="54">
        <v>0</v>
      </c>
      <c r="AM19" s="53">
        <v>0</v>
      </c>
      <c r="AN19" s="53">
        <v>0</v>
      </c>
      <c r="AO19" s="53">
        <v>0</v>
      </c>
      <c r="AP19" s="55">
        <v>0</v>
      </c>
      <c r="OU19" s="44" t="s">
        <v>61</v>
      </c>
    </row>
    <row r="20" ht="16" customHeight="1" spans="1:411" x14ac:dyDescent="0.25">
      <c r="A20" s="64"/>
      <c r="B20" s="35"/>
      <c r="C20" s="51">
        <f>H15*D20</f>
        <v>9106.56</v>
      </c>
      <c r="D20" s="51">
        <f>'Rate Tables'!E11</f>
        <v>189.72</v>
      </c>
      <c r="E20" s="45" t="s">
        <v>45</v>
      </c>
      <c r="F20" s="38"/>
      <c r="G20" s="38"/>
      <c r="H20" s="38"/>
      <c r="I20" s="38"/>
      <c r="J20" s="39"/>
      <c r="K20" s="52">
        <v>0</v>
      </c>
      <c r="L20" s="53">
        <v>0</v>
      </c>
      <c r="M20" s="53">
        <v>0</v>
      </c>
      <c r="N20" s="53">
        <v>0</v>
      </c>
      <c r="O20" s="53">
        <v>0</v>
      </c>
      <c r="P20" s="54">
        <v>0</v>
      </c>
      <c r="Q20" s="54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4">
        <v>0</v>
      </c>
      <c r="X20" s="54">
        <v>24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4">
        <v>0</v>
      </c>
      <c r="AE20" s="54">
        <v>24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4">
        <v>0</v>
      </c>
      <c r="AL20" s="54">
        <v>0</v>
      </c>
      <c r="AM20" s="53">
        <v>0</v>
      </c>
      <c r="AN20" s="53">
        <v>0</v>
      </c>
      <c r="AO20" s="53">
        <v>0</v>
      </c>
      <c r="AP20" s="55">
        <v>0</v>
      </c>
      <c r="OU20" s="44" t="s">
        <v>61</v>
      </c>
    </row>
    <row r="21" ht="16" customHeight="1" spans="1:411" x14ac:dyDescent="0.25">
      <c r="A21" s="64"/>
      <c r="B21" s="35"/>
      <c r="C21" s="57">
        <f>I15*D21</f>
        <v>5720</v>
      </c>
      <c r="D21" s="57">
        <v>130</v>
      </c>
      <c r="E21" s="58" t="s">
        <v>46</v>
      </c>
      <c r="F21" s="38"/>
      <c r="G21" s="38"/>
      <c r="H21" s="38"/>
      <c r="I21" s="38"/>
      <c r="J21" s="39"/>
      <c r="K21" s="59">
        <v>2</v>
      </c>
      <c r="L21" s="60">
        <v>2</v>
      </c>
      <c r="M21" s="60">
        <v>2</v>
      </c>
      <c r="N21" s="60">
        <v>2</v>
      </c>
      <c r="O21" s="60">
        <v>2</v>
      </c>
      <c r="P21" s="61">
        <v>0</v>
      </c>
      <c r="Q21" s="61">
        <v>0</v>
      </c>
      <c r="R21" s="60">
        <v>2</v>
      </c>
      <c r="S21" s="60">
        <v>2</v>
      </c>
      <c r="T21" s="60">
        <v>2</v>
      </c>
      <c r="U21" s="60">
        <v>2</v>
      </c>
      <c r="V21" s="60">
        <v>2</v>
      </c>
      <c r="W21" s="61">
        <v>2</v>
      </c>
      <c r="X21" s="61">
        <v>2</v>
      </c>
      <c r="Y21" s="60">
        <v>2</v>
      </c>
      <c r="Z21" s="60">
        <v>2</v>
      </c>
      <c r="AA21" s="60">
        <v>2</v>
      </c>
      <c r="AB21" s="60">
        <v>2</v>
      </c>
      <c r="AC21" s="60">
        <v>2</v>
      </c>
      <c r="AD21" s="61">
        <v>2</v>
      </c>
      <c r="AE21" s="61">
        <v>2</v>
      </c>
      <c r="AF21" s="60">
        <v>2</v>
      </c>
      <c r="AG21" s="60">
        <v>2</v>
      </c>
      <c r="AH21" s="60">
        <v>2</v>
      </c>
      <c r="AI21" s="60">
        <v>0</v>
      </c>
      <c r="AJ21" s="60">
        <v>0</v>
      </c>
      <c r="AK21" s="61">
        <v>0</v>
      </c>
      <c r="AL21" s="61">
        <v>0</v>
      </c>
      <c r="AM21" s="60">
        <v>0</v>
      </c>
      <c r="AN21" s="60">
        <v>0</v>
      </c>
      <c r="AO21" s="60">
        <v>0</v>
      </c>
      <c r="AP21" s="62">
        <v>0</v>
      </c>
      <c r="OU21" s="50" t="s">
        <v>61</v>
      </c>
    </row>
    <row r="22" ht="16" customHeight="1" spans="1:411" x14ac:dyDescent="0.25">
      <c r="A22" s="16" t="s">
        <v>58</v>
      </c>
      <c r="B22" s="17"/>
      <c r="C22" s="65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65">
        <f>SUM(J7,J15)</f>
        <v>121667.84</v>
      </c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</row>
    <row r="2" ht="16" customHeight="1" spans="1: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ht="16" customHeight="1" spans="1: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ht="14" customHeight="1" spans="1:42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19</v>
      </c>
      <c r="L4" s="28"/>
      <c r="M4" s="28"/>
      <c r="N4" s="28"/>
      <c r="O4" s="28"/>
      <c r="P4" s="28"/>
      <c r="Q4" s="28"/>
      <c r="R4" s="28"/>
      <c r="S4" s="28"/>
      <c r="T4" s="28"/>
      <c r="U4" s="29" t="s">
        <v>20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8" t="s">
        <v>21</v>
      </c>
      <c r="AJ4" s="28"/>
      <c r="AK4" s="28"/>
      <c r="AL4" s="28"/>
      <c r="AM4" s="28"/>
      <c r="AN4" s="28"/>
      <c r="AO4" s="28"/>
      <c r="AP4" s="28"/>
    </row>
    <row r="5" ht="14" customHeight="1" spans="1: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0" t="s">
        <v>22</v>
      </c>
      <c r="L5" s="30" t="s">
        <v>23</v>
      </c>
      <c r="M5" s="30" t="s">
        <v>24</v>
      </c>
      <c r="N5" s="30" t="s">
        <v>25</v>
      </c>
      <c r="O5" s="30" t="s">
        <v>26</v>
      </c>
      <c r="P5" s="30" t="s">
        <v>27</v>
      </c>
      <c r="Q5" s="30" t="s">
        <v>28</v>
      </c>
      <c r="R5" s="30" t="s">
        <v>22</v>
      </c>
      <c r="S5" s="30" t="s">
        <v>23</v>
      </c>
      <c r="T5" s="30" t="s">
        <v>24</v>
      </c>
      <c r="U5" s="30" t="s">
        <v>25</v>
      </c>
      <c r="V5" s="30" t="s">
        <v>26</v>
      </c>
      <c r="W5" s="30" t="s">
        <v>27</v>
      </c>
      <c r="X5" s="30" t="s">
        <v>28</v>
      </c>
      <c r="Y5" s="30" t="s">
        <v>22</v>
      </c>
      <c r="Z5" s="30" t="s">
        <v>23</v>
      </c>
      <c r="AA5" s="30" t="s">
        <v>24</v>
      </c>
      <c r="AB5" s="30" t="s">
        <v>25</v>
      </c>
      <c r="AC5" s="30" t="s">
        <v>26</v>
      </c>
      <c r="AD5" s="30" t="s">
        <v>27</v>
      </c>
      <c r="AE5" s="30" t="s">
        <v>28</v>
      </c>
      <c r="AF5" s="30" t="s">
        <v>22</v>
      </c>
      <c r="AG5" s="30" t="s">
        <v>23</v>
      </c>
      <c r="AH5" s="30" t="s">
        <v>24</v>
      </c>
      <c r="AI5" s="30" t="s">
        <v>25</v>
      </c>
      <c r="AJ5" s="30" t="s">
        <v>26</v>
      </c>
      <c r="AK5" s="30" t="s">
        <v>27</v>
      </c>
      <c r="AL5" s="30" t="s">
        <v>28</v>
      </c>
      <c r="AM5" s="30" t="s">
        <v>22</v>
      </c>
      <c r="AN5" s="30" t="s">
        <v>23</v>
      </c>
      <c r="AO5" s="30" t="s">
        <v>24</v>
      </c>
      <c r="AP5" s="30" t="s">
        <v>25</v>
      </c>
    </row>
    <row r="6" ht="22" customHeight="1" spans="1:42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10</v>
      </c>
      <c r="K6" s="32">
        <v>46286</v>
      </c>
      <c r="L6" s="32">
        <f>K6+1</f>
        <v>46287</v>
      </c>
      <c r="M6" s="32">
        <f>L6+1</f>
        <v>46288</v>
      </c>
      <c r="N6" s="32">
        <f>M6+1</f>
        <v>46289</v>
      </c>
      <c r="O6" s="32">
        <f>N6+1</f>
        <v>46290</v>
      </c>
      <c r="P6" s="33">
        <f>O6+1</f>
        <v>46291</v>
      </c>
      <c r="Q6" s="33">
        <f>P6+1</f>
        <v>46292</v>
      </c>
      <c r="R6" s="32">
        <f>Q6+1</f>
        <v>46293</v>
      </c>
      <c r="S6" s="32">
        <f>R6+1</f>
        <v>46294</v>
      </c>
      <c r="T6" s="32">
        <f>S6+1</f>
        <v>46295</v>
      </c>
      <c r="U6" s="32">
        <f>T6+1</f>
        <v>46296</v>
      </c>
      <c r="V6" s="32">
        <f>U6+1</f>
        <v>46297</v>
      </c>
      <c r="W6" s="33">
        <f>V6+1</f>
        <v>46298</v>
      </c>
      <c r="X6" s="33">
        <f>W6+1</f>
        <v>46299</v>
      </c>
      <c r="Y6" s="32">
        <f>X6+1</f>
        <v>46300</v>
      </c>
      <c r="Z6" s="32">
        <f>Y6+1</f>
        <v>46301</v>
      </c>
      <c r="AA6" s="32">
        <f>Z6+1</f>
        <v>46302</v>
      </c>
      <c r="AB6" s="32">
        <f>AA6+1</f>
        <v>46303</v>
      </c>
      <c r="AC6" s="32">
        <f>AB6+1</f>
        <v>46304</v>
      </c>
      <c r="AD6" s="33">
        <f>AC6+1</f>
        <v>46305</v>
      </c>
      <c r="AE6" s="33">
        <f>AD6+1</f>
        <v>46306</v>
      </c>
      <c r="AF6" s="32">
        <f>AE6+1</f>
        <v>46307</v>
      </c>
      <c r="AG6" s="32">
        <f>AF6+1</f>
        <v>46308</v>
      </c>
      <c r="AH6" s="32">
        <f>AG6+1</f>
        <v>46309</v>
      </c>
      <c r="AI6" s="32">
        <f>AH6+1</f>
        <v>46310</v>
      </c>
      <c r="AJ6" s="32">
        <f>AI6+1</f>
        <v>46311</v>
      </c>
      <c r="AK6" s="33">
        <f>AJ6+1</f>
        <v>46312</v>
      </c>
      <c r="AL6" s="33">
        <f>AK6+1</f>
        <v>46313</v>
      </c>
      <c r="AM6" s="32">
        <f>AL6+1</f>
        <v>46314</v>
      </c>
      <c r="AN6" s="32">
        <f>AM6+1</f>
        <v>46315</v>
      </c>
      <c r="AO6" s="32">
        <f>AN6+1</f>
        <v>46316</v>
      </c>
      <c r="AP6" s="32">
        <f>AO6+1</f>
        <v>46317</v>
      </c>
    </row>
    <row r="7" ht="16" customHeight="1" spans="1:411" x14ac:dyDescent="0.25">
      <c r="A7" s="34" t="s">
        <v>38</v>
      </c>
      <c r="B7" s="35" t="s">
        <v>62</v>
      </c>
      <c r="C7" s="36">
        <f>J7</f>
        <v>468723.36</v>
      </c>
      <c r="D7" s="37"/>
      <c r="E7" s="37"/>
      <c r="F7" s="38">
        <f>SUM(K10:AP10)</f>
        <v>2336</v>
      </c>
      <c r="G7" s="38">
        <f>SUM(K11:AP11)</f>
        <v>1152</v>
      </c>
      <c r="H7" s="38">
        <f>SUM(K12:AP12)</f>
        <v>432</v>
      </c>
      <c r="I7" s="38">
        <f>SUM(K13:AP13)</f>
        <v>210</v>
      </c>
      <c r="J7" s="39">
        <f>C10+C11+C12</f>
        <v>468723.36</v>
      </c>
      <c r="K7" s="40"/>
      <c r="L7" s="41"/>
      <c r="M7" s="41"/>
      <c r="N7" s="41"/>
      <c r="O7" s="41"/>
      <c r="P7" s="42"/>
      <c r="Q7" s="42"/>
      <c r="R7" s="41"/>
      <c r="S7" s="41"/>
      <c r="T7" s="41"/>
      <c r="U7" s="41"/>
      <c r="V7" s="41"/>
      <c r="W7" s="42"/>
      <c r="X7" s="42"/>
      <c r="Y7" s="41"/>
      <c r="Z7" s="41"/>
      <c r="AA7" s="41"/>
      <c r="AB7" s="41"/>
      <c r="AC7" s="41"/>
      <c r="AD7" s="42"/>
      <c r="AE7" s="42"/>
      <c r="AF7" s="41"/>
      <c r="AG7" s="41"/>
      <c r="AH7" s="41"/>
      <c r="AI7" s="41"/>
      <c r="AJ7" s="41"/>
      <c r="AK7" s="42"/>
      <c r="AL7" s="42"/>
      <c r="AM7" s="41"/>
      <c r="AN7" s="41"/>
      <c r="AO7" s="41"/>
      <c r="AP7" s="43"/>
      <c r="OU7" s="44" t="s">
        <v>63</v>
      </c>
    </row>
    <row r="8" ht="16" customHeight="1" spans="1:411" x14ac:dyDescent="0.25">
      <c r="A8" s="34"/>
      <c r="B8" s="35"/>
      <c r="C8" s="36"/>
      <c r="D8" s="37"/>
      <c r="E8" s="45" t="s">
        <v>41</v>
      </c>
      <c r="F8" s="38"/>
      <c r="G8" s="38"/>
      <c r="H8" s="38"/>
      <c r="I8" s="38"/>
      <c r="J8" s="39"/>
      <c r="K8" s="46">
        <v>8</v>
      </c>
      <c r="L8" s="47">
        <v>8</v>
      </c>
      <c r="M8" s="47">
        <v>8</v>
      </c>
      <c r="N8" s="47">
        <v>8</v>
      </c>
      <c r="O8" s="47">
        <v>8</v>
      </c>
      <c r="P8" s="48">
        <v>0</v>
      </c>
      <c r="Q8" s="48">
        <v>0</v>
      </c>
      <c r="R8" s="47">
        <v>8</v>
      </c>
      <c r="S8" s="47">
        <v>8</v>
      </c>
      <c r="T8" s="47">
        <v>8</v>
      </c>
      <c r="U8" s="47">
        <v>18</v>
      </c>
      <c r="V8" s="47">
        <v>18</v>
      </c>
      <c r="W8" s="48">
        <v>18</v>
      </c>
      <c r="X8" s="48">
        <v>18</v>
      </c>
      <c r="Y8" s="47">
        <v>18</v>
      </c>
      <c r="Z8" s="47">
        <v>18</v>
      </c>
      <c r="AA8" s="47">
        <v>18</v>
      </c>
      <c r="AB8" s="47">
        <v>18</v>
      </c>
      <c r="AC8" s="47">
        <v>18</v>
      </c>
      <c r="AD8" s="48">
        <v>18</v>
      </c>
      <c r="AE8" s="48">
        <v>18</v>
      </c>
      <c r="AF8" s="47">
        <v>18</v>
      </c>
      <c r="AG8" s="47">
        <v>18</v>
      </c>
      <c r="AH8" s="47">
        <v>18</v>
      </c>
      <c r="AI8" s="47">
        <v>8</v>
      </c>
      <c r="AJ8" s="47">
        <v>8</v>
      </c>
      <c r="AK8" s="48">
        <v>0</v>
      </c>
      <c r="AL8" s="48">
        <v>0</v>
      </c>
      <c r="AM8" s="47">
        <v>8</v>
      </c>
      <c r="AN8" s="47">
        <v>8</v>
      </c>
      <c r="AO8" s="47">
        <v>8</v>
      </c>
      <c r="AP8" s="49">
        <v>8</v>
      </c>
      <c r="OU8" s="50" t="s">
        <v>63</v>
      </c>
    </row>
    <row r="9" ht="16" customHeight="1" spans="1:411" x14ac:dyDescent="0.25">
      <c r="A9" s="34"/>
      <c r="B9" s="35"/>
      <c r="C9" s="36"/>
      <c r="D9" s="37"/>
      <c r="E9" s="45" t="s">
        <v>42</v>
      </c>
      <c r="F9" s="38"/>
      <c r="G9" s="38"/>
      <c r="H9" s="38"/>
      <c r="I9" s="38"/>
      <c r="J9" s="39"/>
      <c r="K9" s="46">
        <v>8</v>
      </c>
      <c r="L9" s="47">
        <v>8</v>
      </c>
      <c r="M9" s="47">
        <v>8</v>
      </c>
      <c r="N9" s="47">
        <v>8</v>
      </c>
      <c r="O9" s="47">
        <v>8</v>
      </c>
      <c r="P9" s="48">
        <v>0</v>
      </c>
      <c r="Q9" s="48">
        <v>0</v>
      </c>
      <c r="R9" s="47">
        <v>8</v>
      </c>
      <c r="S9" s="47">
        <v>8</v>
      </c>
      <c r="T9" s="47">
        <v>8</v>
      </c>
      <c r="U9" s="47">
        <v>12</v>
      </c>
      <c r="V9" s="47">
        <v>12</v>
      </c>
      <c r="W9" s="48">
        <v>12</v>
      </c>
      <c r="X9" s="48">
        <v>12</v>
      </c>
      <c r="Y9" s="47">
        <v>12</v>
      </c>
      <c r="Z9" s="47">
        <v>12</v>
      </c>
      <c r="AA9" s="47">
        <v>12</v>
      </c>
      <c r="AB9" s="47">
        <v>12</v>
      </c>
      <c r="AC9" s="47">
        <v>12</v>
      </c>
      <c r="AD9" s="48">
        <v>12</v>
      </c>
      <c r="AE9" s="48">
        <v>12</v>
      </c>
      <c r="AF9" s="47">
        <v>12</v>
      </c>
      <c r="AG9" s="47">
        <v>12</v>
      </c>
      <c r="AH9" s="47">
        <v>12</v>
      </c>
      <c r="AI9" s="47">
        <v>8</v>
      </c>
      <c r="AJ9" s="47">
        <v>8</v>
      </c>
      <c r="AK9" s="48">
        <v>0</v>
      </c>
      <c r="AL9" s="48">
        <v>0</v>
      </c>
      <c r="AM9" s="47">
        <v>8</v>
      </c>
      <c r="AN9" s="47">
        <v>8</v>
      </c>
      <c r="AO9" s="47">
        <v>8</v>
      </c>
      <c r="AP9" s="49">
        <v>8</v>
      </c>
      <c r="OU9" s="50" t="s">
        <v>63</v>
      </c>
    </row>
    <row r="10" ht="16" customHeight="1" spans="1:411" x14ac:dyDescent="0.25">
      <c r="A10" s="34"/>
      <c r="B10" s="35"/>
      <c r="C10" s="51">
        <f>F7*D10</f>
        <v>232034.88</v>
      </c>
      <c r="D10" s="51">
        <f>'Rate Tables'!C12</f>
        <v>99.33</v>
      </c>
      <c r="E10" s="45" t="s">
        <v>43</v>
      </c>
      <c r="F10" s="38"/>
      <c r="G10" s="38"/>
      <c r="H10" s="38"/>
      <c r="I10" s="38"/>
      <c r="J10" s="39"/>
      <c r="K10" s="52">
        <v>64</v>
      </c>
      <c r="L10" s="53">
        <v>64</v>
      </c>
      <c r="M10" s="53">
        <v>64</v>
      </c>
      <c r="N10" s="53">
        <v>64</v>
      </c>
      <c r="O10" s="53">
        <v>64</v>
      </c>
      <c r="P10" s="54">
        <v>0</v>
      </c>
      <c r="Q10" s="54">
        <v>0</v>
      </c>
      <c r="R10" s="53">
        <v>64</v>
      </c>
      <c r="S10" s="53">
        <v>64</v>
      </c>
      <c r="T10" s="53">
        <v>64</v>
      </c>
      <c r="U10" s="53">
        <v>144</v>
      </c>
      <c r="V10" s="53">
        <v>144</v>
      </c>
      <c r="W10" s="54">
        <v>0</v>
      </c>
      <c r="X10" s="54">
        <v>0</v>
      </c>
      <c r="Y10" s="53">
        <v>144</v>
      </c>
      <c r="Z10" s="53">
        <v>144</v>
      </c>
      <c r="AA10" s="53">
        <v>144</v>
      </c>
      <c r="AB10" s="53">
        <v>144</v>
      </c>
      <c r="AC10" s="53">
        <v>144</v>
      </c>
      <c r="AD10" s="54">
        <v>0</v>
      </c>
      <c r="AE10" s="54">
        <v>0</v>
      </c>
      <c r="AF10" s="53">
        <v>144</v>
      </c>
      <c r="AG10" s="53">
        <v>144</v>
      </c>
      <c r="AH10" s="53">
        <v>144</v>
      </c>
      <c r="AI10" s="53">
        <v>64</v>
      </c>
      <c r="AJ10" s="53">
        <v>64</v>
      </c>
      <c r="AK10" s="54">
        <v>0</v>
      </c>
      <c r="AL10" s="54">
        <v>0</v>
      </c>
      <c r="AM10" s="53">
        <v>64</v>
      </c>
      <c r="AN10" s="53">
        <v>64</v>
      </c>
      <c r="AO10" s="53">
        <v>64</v>
      </c>
      <c r="AP10" s="55">
        <v>64</v>
      </c>
      <c r="OU10" s="44" t="s">
        <v>63</v>
      </c>
    </row>
    <row r="11" ht="16" customHeight="1" spans="1:411" x14ac:dyDescent="0.25">
      <c r="A11" s="34"/>
      <c r="B11" s="35"/>
      <c r="C11" s="56">
        <f>G7*D11</f>
        <v>159770.88</v>
      </c>
      <c r="D11" s="56">
        <f>'Rate Tables'!D12</f>
        <v>138.69</v>
      </c>
      <c r="E11" s="45" t="s">
        <v>44</v>
      </c>
      <c r="F11" s="38"/>
      <c r="G11" s="38"/>
      <c r="H11" s="38"/>
      <c r="I11" s="38"/>
      <c r="J11" s="39"/>
      <c r="K11" s="52">
        <v>0</v>
      </c>
      <c r="L11" s="53">
        <v>0</v>
      </c>
      <c r="M11" s="53">
        <v>0</v>
      </c>
      <c r="N11" s="53">
        <v>0</v>
      </c>
      <c r="O11" s="53">
        <v>0</v>
      </c>
      <c r="P11" s="54">
        <v>0</v>
      </c>
      <c r="Q11" s="54">
        <v>0</v>
      </c>
      <c r="R11" s="53">
        <v>0</v>
      </c>
      <c r="S11" s="53">
        <v>0</v>
      </c>
      <c r="T11" s="53">
        <v>0</v>
      </c>
      <c r="U11" s="53">
        <v>72</v>
      </c>
      <c r="V11" s="53">
        <v>72</v>
      </c>
      <c r="W11" s="54">
        <v>216</v>
      </c>
      <c r="X11" s="54">
        <v>0</v>
      </c>
      <c r="Y11" s="53">
        <v>72</v>
      </c>
      <c r="Z11" s="53">
        <v>72</v>
      </c>
      <c r="AA11" s="53">
        <v>72</v>
      </c>
      <c r="AB11" s="53">
        <v>72</v>
      </c>
      <c r="AC11" s="53">
        <v>72</v>
      </c>
      <c r="AD11" s="54">
        <v>216</v>
      </c>
      <c r="AE11" s="54">
        <v>0</v>
      </c>
      <c r="AF11" s="53">
        <v>72</v>
      </c>
      <c r="AG11" s="53">
        <v>72</v>
      </c>
      <c r="AH11" s="53">
        <v>72</v>
      </c>
      <c r="AI11" s="53">
        <v>0</v>
      </c>
      <c r="AJ11" s="53">
        <v>0</v>
      </c>
      <c r="AK11" s="54">
        <v>0</v>
      </c>
      <c r="AL11" s="54">
        <v>0</v>
      </c>
      <c r="AM11" s="53">
        <v>0</v>
      </c>
      <c r="AN11" s="53">
        <v>0</v>
      </c>
      <c r="AO11" s="53">
        <v>0</v>
      </c>
      <c r="AP11" s="55">
        <v>0</v>
      </c>
      <c r="OU11" s="44" t="s">
        <v>63</v>
      </c>
    </row>
    <row r="12" ht="16" customHeight="1" spans="1:411" x14ac:dyDescent="0.25">
      <c r="A12" s="34"/>
      <c r="B12" s="35"/>
      <c r="C12" s="51">
        <f>H7*D12</f>
        <v>76917.6</v>
      </c>
      <c r="D12" s="51">
        <f>'Rate Tables'!E12</f>
        <v>178.05</v>
      </c>
      <c r="E12" s="45" t="s">
        <v>45</v>
      </c>
      <c r="F12" s="38"/>
      <c r="G12" s="38"/>
      <c r="H12" s="38"/>
      <c r="I12" s="38"/>
      <c r="J12" s="39"/>
      <c r="K12" s="52">
        <v>0</v>
      </c>
      <c r="L12" s="53">
        <v>0</v>
      </c>
      <c r="M12" s="53">
        <v>0</v>
      </c>
      <c r="N12" s="53">
        <v>0</v>
      </c>
      <c r="O12" s="53">
        <v>0</v>
      </c>
      <c r="P12" s="54">
        <v>0</v>
      </c>
      <c r="Q12" s="54">
        <v>0</v>
      </c>
      <c r="R12" s="53">
        <v>0</v>
      </c>
      <c r="S12" s="53">
        <v>0</v>
      </c>
      <c r="T12" s="53">
        <v>0</v>
      </c>
      <c r="U12" s="53">
        <v>0</v>
      </c>
      <c r="V12" s="53">
        <v>0</v>
      </c>
      <c r="W12" s="54">
        <v>0</v>
      </c>
      <c r="X12" s="54">
        <v>216</v>
      </c>
      <c r="Y12" s="53">
        <v>0</v>
      </c>
      <c r="Z12" s="53">
        <v>0</v>
      </c>
      <c r="AA12" s="53">
        <v>0</v>
      </c>
      <c r="AB12" s="53">
        <v>0</v>
      </c>
      <c r="AC12" s="53">
        <v>0</v>
      </c>
      <c r="AD12" s="54">
        <v>0</v>
      </c>
      <c r="AE12" s="54">
        <v>216</v>
      </c>
      <c r="AF12" s="53">
        <v>0</v>
      </c>
      <c r="AG12" s="53">
        <v>0</v>
      </c>
      <c r="AH12" s="53">
        <v>0</v>
      </c>
      <c r="AI12" s="53">
        <v>0</v>
      </c>
      <c r="AJ12" s="53">
        <v>0</v>
      </c>
      <c r="AK12" s="54">
        <v>0</v>
      </c>
      <c r="AL12" s="54">
        <v>0</v>
      </c>
      <c r="AM12" s="53">
        <v>0</v>
      </c>
      <c r="AN12" s="53">
        <v>0</v>
      </c>
      <c r="AO12" s="53">
        <v>0</v>
      </c>
      <c r="AP12" s="55">
        <v>0</v>
      </c>
      <c r="OU12" s="44" t="s">
        <v>63</v>
      </c>
    </row>
    <row r="13" ht="16" customHeight="1" spans="1:411" x14ac:dyDescent="0.25">
      <c r="A13" s="34"/>
      <c r="B13" s="35"/>
      <c r="C13" s="57">
        <f>I7*D13</f>
        <v>27300</v>
      </c>
      <c r="D13" s="57">
        <v>130</v>
      </c>
      <c r="E13" s="58" t="s">
        <v>46</v>
      </c>
      <c r="F13" s="38"/>
      <c r="G13" s="38"/>
      <c r="H13" s="38"/>
      <c r="I13" s="38"/>
      <c r="J13" s="39"/>
      <c r="K13" s="59">
        <v>5</v>
      </c>
      <c r="L13" s="60">
        <v>5</v>
      </c>
      <c r="M13" s="60">
        <v>5</v>
      </c>
      <c r="N13" s="60">
        <v>5</v>
      </c>
      <c r="O13" s="60">
        <v>5</v>
      </c>
      <c r="P13" s="61">
        <v>0</v>
      </c>
      <c r="Q13" s="61">
        <v>0</v>
      </c>
      <c r="R13" s="60">
        <v>5</v>
      </c>
      <c r="S13" s="60">
        <v>5</v>
      </c>
      <c r="T13" s="60">
        <v>5</v>
      </c>
      <c r="U13" s="60">
        <v>10</v>
      </c>
      <c r="V13" s="60">
        <v>10</v>
      </c>
      <c r="W13" s="61">
        <v>10</v>
      </c>
      <c r="X13" s="61">
        <v>10</v>
      </c>
      <c r="Y13" s="60">
        <v>10</v>
      </c>
      <c r="Z13" s="60">
        <v>10</v>
      </c>
      <c r="AA13" s="60">
        <v>10</v>
      </c>
      <c r="AB13" s="60">
        <v>10</v>
      </c>
      <c r="AC13" s="60">
        <v>10</v>
      </c>
      <c r="AD13" s="61">
        <v>10</v>
      </c>
      <c r="AE13" s="61">
        <v>10</v>
      </c>
      <c r="AF13" s="60">
        <v>10</v>
      </c>
      <c r="AG13" s="60">
        <v>10</v>
      </c>
      <c r="AH13" s="60">
        <v>10</v>
      </c>
      <c r="AI13" s="60">
        <v>5</v>
      </c>
      <c r="AJ13" s="60">
        <v>5</v>
      </c>
      <c r="AK13" s="61">
        <v>0</v>
      </c>
      <c r="AL13" s="61">
        <v>0</v>
      </c>
      <c r="AM13" s="60">
        <v>5</v>
      </c>
      <c r="AN13" s="60">
        <v>5</v>
      </c>
      <c r="AO13" s="60">
        <v>5</v>
      </c>
      <c r="AP13" s="62">
        <v>5</v>
      </c>
      <c r="OU13" s="50" t="s">
        <v>63</v>
      </c>
    </row>
    <row r="14" ht="8" customHeight="1" spans="1:42" x14ac:dyDescent="0.25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</row>
    <row r="15" ht="16" customHeight="1" spans="1:411" x14ac:dyDescent="0.25">
      <c r="A15" s="64" t="s">
        <v>47</v>
      </c>
      <c r="B15" s="35" t="s">
        <v>62</v>
      </c>
      <c r="C15" s="36">
        <f>J15</f>
        <v>337532.16</v>
      </c>
      <c r="D15" s="37"/>
      <c r="E15" s="37"/>
      <c r="F15" s="38">
        <f>SUM(K18:AP18)</f>
        <v>1280</v>
      </c>
      <c r="G15" s="38">
        <f>SUM(K19:AP19)</f>
        <v>1024</v>
      </c>
      <c r="H15" s="38">
        <f>SUM(K20:AP20)</f>
        <v>384</v>
      </c>
      <c r="I15" s="38">
        <f>SUM(K21:AP21)</f>
        <v>14</v>
      </c>
      <c r="J15" s="39">
        <f>C18+C19+C20</f>
        <v>337532.16</v>
      </c>
      <c r="K15" s="40"/>
      <c r="L15" s="41"/>
      <c r="M15" s="41"/>
      <c r="N15" s="41"/>
      <c r="O15" s="41"/>
      <c r="P15" s="42"/>
      <c r="Q15" s="42"/>
      <c r="R15" s="41"/>
      <c r="S15" s="41"/>
      <c r="T15" s="41"/>
      <c r="U15" s="41"/>
      <c r="V15" s="41"/>
      <c r="W15" s="42"/>
      <c r="X15" s="42"/>
      <c r="Y15" s="41"/>
      <c r="Z15" s="41"/>
      <c r="AA15" s="41"/>
      <c r="AB15" s="41"/>
      <c r="AC15" s="41"/>
      <c r="AD15" s="42"/>
      <c r="AE15" s="42"/>
      <c r="AF15" s="41"/>
      <c r="AG15" s="41"/>
      <c r="AH15" s="41"/>
      <c r="AI15" s="41"/>
      <c r="AJ15" s="41"/>
      <c r="AK15" s="42"/>
      <c r="AL15" s="42"/>
      <c r="AM15" s="41"/>
      <c r="AN15" s="41"/>
      <c r="AO15" s="41"/>
      <c r="AP15" s="43"/>
      <c r="OU15" s="44" t="s">
        <v>64</v>
      </c>
    </row>
    <row r="16" ht="16" customHeight="1" spans="1:411" x14ac:dyDescent="0.25">
      <c r="A16" s="64"/>
      <c r="B16" s="35"/>
      <c r="C16" s="36"/>
      <c r="D16" s="37"/>
      <c r="E16" s="45" t="s">
        <v>41</v>
      </c>
      <c r="F16" s="38"/>
      <c r="G16" s="38"/>
      <c r="H16" s="38"/>
      <c r="I16" s="38"/>
      <c r="J16" s="39"/>
      <c r="K16" s="46">
        <v>0</v>
      </c>
      <c r="L16" s="47">
        <v>0</v>
      </c>
      <c r="M16" s="47">
        <v>0</v>
      </c>
      <c r="N16" s="47">
        <v>0</v>
      </c>
      <c r="O16" s="47">
        <v>0</v>
      </c>
      <c r="P16" s="48">
        <v>0</v>
      </c>
      <c r="Q16" s="48">
        <v>0</v>
      </c>
      <c r="R16" s="47">
        <v>0</v>
      </c>
      <c r="S16" s="47">
        <v>0</v>
      </c>
      <c r="T16" s="47">
        <v>0</v>
      </c>
      <c r="U16" s="47">
        <v>16</v>
      </c>
      <c r="V16" s="47">
        <v>16</v>
      </c>
      <c r="W16" s="48">
        <v>16</v>
      </c>
      <c r="X16" s="48">
        <v>16</v>
      </c>
      <c r="Y16" s="47">
        <v>16</v>
      </c>
      <c r="Z16" s="47">
        <v>16</v>
      </c>
      <c r="AA16" s="47">
        <v>16</v>
      </c>
      <c r="AB16" s="47">
        <v>16</v>
      </c>
      <c r="AC16" s="47">
        <v>16</v>
      </c>
      <c r="AD16" s="48">
        <v>16</v>
      </c>
      <c r="AE16" s="48">
        <v>16</v>
      </c>
      <c r="AF16" s="47">
        <v>16</v>
      </c>
      <c r="AG16" s="47">
        <v>16</v>
      </c>
      <c r="AH16" s="47">
        <v>16</v>
      </c>
      <c r="AI16" s="47">
        <v>0</v>
      </c>
      <c r="AJ16" s="47">
        <v>0</v>
      </c>
      <c r="AK16" s="48">
        <v>0</v>
      </c>
      <c r="AL16" s="48">
        <v>0</v>
      </c>
      <c r="AM16" s="47">
        <v>0</v>
      </c>
      <c r="AN16" s="47">
        <v>0</v>
      </c>
      <c r="AO16" s="47">
        <v>0</v>
      </c>
      <c r="AP16" s="49">
        <v>0</v>
      </c>
      <c r="OU16" s="50" t="s">
        <v>64</v>
      </c>
    </row>
    <row r="17" ht="16" customHeight="1" spans="1:411" x14ac:dyDescent="0.25">
      <c r="A17" s="64"/>
      <c r="B17" s="35"/>
      <c r="C17" s="36"/>
      <c r="D17" s="37"/>
      <c r="E17" s="45" t="s">
        <v>42</v>
      </c>
      <c r="F17" s="38"/>
      <c r="G17" s="38"/>
      <c r="H17" s="38"/>
      <c r="I17" s="38"/>
      <c r="J17" s="39"/>
      <c r="K17" s="46">
        <v>0</v>
      </c>
      <c r="L17" s="47">
        <v>0</v>
      </c>
      <c r="M17" s="47">
        <v>0</v>
      </c>
      <c r="N17" s="47">
        <v>0</v>
      </c>
      <c r="O17" s="47">
        <v>0</v>
      </c>
      <c r="P17" s="48">
        <v>0</v>
      </c>
      <c r="Q17" s="48">
        <v>0</v>
      </c>
      <c r="R17" s="47">
        <v>0</v>
      </c>
      <c r="S17" s="47">
        <v>0</v>
      </c>
      <c r="T17" s="47">
        <v>0</v>
      </c>
      <c r="U17" s="47">
        <v>12</v>
      </c>
      <c r="V17" s="47">
        <v>12</v>
      </c>
      <c r="W17" s="48">
        <v>12</v>
      </c>
      <c r="X17" s="48">
        <v>12</v>
      </c>
      <c r="Y17" s="47">
        <v>12</v>
      </c>
      <c r="Z17" s="47">
        <v>12</v>
      </c>
      <c r="AA17" s="47">
        <v>12</v>
      </c>
      <c r="AB17" s="47">
        <v>12</v>
      </c>
      <c r="AC17" s="47">
        <v>12</v>
      </c>
      <c r="AD17" s="48">
        <v>12</v>
      </c>
      <c r="AE17" s="48">
        <v>12</v>
      </c>
      <c r="AF17" s="47">
        <v>12</v>
      </c>
      <c r="AG17" s="47">
        <v>12</v>
      </c>
      <c r="AH17" s="47">
        <v>12</v>
      </c>
      <c r="AI17" s="47">
        <v>0</v>
      </c>
      <c r="AJ17" s="47">
        <v>0</v>
      </c>
      <c r="AK17" s="48">
        <v>0</v>
      </c>
      <c r="AL17" s="48">
        <v>0</v>
      </c>
      <c r="AM17" s="47">
        <v>0</v>
      </c>
      <c r="AN17" s="47">
        <v>0</v>
      </c>
      <c r="AO17" s="47">
        <v>0</v>
      </c>
      <c r="AP17" s="49">
        <v>0</v>
      </c>
      <c r="OU17" s="50" t="s">
        <v>64</v>
      </c>
    </row>
    <row r="18" ht="16" customHeight="1" spans="1:411" x14ac:dyDescent="0.25">
      <c r="A18" s="64"/>
      <c r="B18" s="35"/>
      <c r="C18" s="51">
        <f>F15*D18</f>
        <v>127142.4</v>
      </c>
      <c r="D18" s="51">
        <f>'Rate Tables'!C12</f>
        <v>99.33</v>
      </c>
      <c r="E18" s="45" t="s">
        <v>43</v>
      </c>
      <c r="F18" s="38"/>
      <c r="G18" s="38"/>
      <c r="H18" s="38"/>
      <c r="I18" s="38"/>
      <c r="J18" s="39"/>
      <c r="K18" s="52">
        <v>0</v>
      </c>
      <c r="L18" s="53">
        <v>0</v>
      </c>
      <c r="M18" s="53">
        <v>0</v>
      </c>
      <c r="N18" s="53">
        <v>0</v>
      </c>
      <c r="O18" s="53">
        <v>0</v>
      </c>
      <c r="P18" s="54">
        <v>0</v>
      </c>
      <c r="Q18" s="54">
        <v>0</v>
      </c>
      <c r="R18" s="53">
        <v>0</v>
      </c>
      <c r="S18" s="53">
        <v>0</v>
      </c>
      <c r="T18" s="53">
        <v>0</v>
      </c>
      <c r="U18" s="53">
        <v>128</v>
      </c>
      <c r="V18" s="53">
        <v>128</v>
      </c>
      <c r="W18" s="54">
        <v>0</v>
      </c>
      <c r="X18" s="54">
        <v>0</v>
      </c>
      <c r="Y18" s="53">
        <v>128</v>
      </c>
      <c r="Z18" s="53">
        <v>128</v>
      </c>
      <c r="AA18" s="53">
        <v>128</v>
      </c>
      <c r="AB18" s="53">
        <v>128</v>
      </c>
      <c r="AC18" s="53">
        <v>128</v>
      </c>
      <c r="AD18" s="54">
        <v>0</v>
      </c>
      <c r="AE18" s="54">
        <v>0</v>
      </c>
      <c r="AF18" s="53">
        <v>128</v>
      </c>
      <c r="AG18" s="53">
        <v>128</v>
      </c>
      <c r="AH18" s="53">
        <v>128</v>
      </c>
      <c r="AI18" s="53">
        <v>0</v>
      </c>
      <c r="AJ18" s="53">
        <v>0</v>
      </c>
      <c r="AK18" s="54">
        <v>0</v>
      </c>
      <c r="AL18" s="54">
        <v>0</v>
      </c>
      <c r="AM18" s="53">
        <v>0</v>
      </c>
      <c r="AN18" s="53">
        <v>0</v>
      </c>
      <c r="AO18" s="53">
        <v>0</v>
      </c>
      <c r="AP18" s="55">
        <v>0</v>
      </c>
      <c r="OU18" s="44" t="s">
        <v>64</v>
      </c>
    </row>
    <row r="19" ht="16" customHeight="1" spans="1:411" x14ac:dyDescent="0.25">
      <c r="A19" s="64"/>
      <c r="B19" s="35"/>
      <c r="C19" s="56">
        <f>G15*D19</f>
        <v>142018.56</v>
      </c>
      <c r="D19" s="56">
        <f>'Rate Tables'!D12</f>
        <v>138.69</v>
      </c>
      <c r="E19" s="45" t="s">
        <v>44</v>
      </c>
      <c r="F19" s="38"/>
      <c r="G19" s="38"/>
      <c r="H19" s="38"/>
      <c r="I19" s="38"/>
      <c r="J19" s="39"/>
      <c r="K19" s="52">
        <v>0</v>
      </c>
      <c r="L19" s="53">
        <v>0</v>
      </c>
      <c r="M19" s="53">
        <v>0</v>
      </c>
      <c r="N19" s="53">
        <v>0</v>
      </c>
      <c r="O19" s="53">
        <v>0</v>
      </c>
      <c r="P19" s="54">
        <v>0</v>
      </c>
      <c r="Q19" s="54">
        <v>0</v>
      </c>
      <c r="R19" s="53">
        <v>0</v>
      </c>
      <c r="S19" s="53">
        <v>0</v>
      </c>
      <c r="T19" s="53">
        <v>0</v>
      </c>
      <c r="U19" s="53">
        <v>64</v>
      </c>
      <c r="V19" s="53">
        <v>64</v>
      </c>
      <c r="W19" s="54">
        <v>192</v>
      </c>
      <c r="X19" s="54">
        <v>0</v>
      </c>
      <c r="Y19" s="53">
        <v>64</v>
      </c>
      <c r="Z19" s="53">
        <v>64</v>
      </c>
      <c r="AA19" s="53">
        <v>64</v>
      </c>
      <c r="AB19" s="53">
        <v>64</v>
      </c>
      <c r="AC19" s="53">
        <v>64</v>
      </c>
      <c r="AD19" s="54">
        <v>192</v>
      </c>
      <c r="AE19" s="54">
        <v>0</v>
      </c>
      <c r="AF19" s="53">
        <v>64</v>
      </c>
      <c r="AG19" s="53">
        <v>64</v>
      </c>
      <c r="AH19" s="53">
        <v>64</v>
      </c>
      <c r="AI19" s="53">
        <v>0</v>
      </c>
      <c r="AJ19" s="53">
        <v>0</v>
      </c>
      <c r="AK19" s="54">
        <v>0</v>
      </c>
      <c r="AL19" s="54">
        <v>0</v>
      </c>
      <c r="AM19" s="53">
        <v>0</v>
      </c>
      <c r="AN19" s="53">
        <v>0</v>
      </c>
      <c r="AO19" s="53">
        <v>0</v>
      </c>
      <c r="AP19" s="55">
        <v>0</v>
      </c>
      <c r="OU19" s="44" t="s">
        <v>64</v>
      </c>
    </row>
    <row r="20" ht="16" customHeight="1" spans="1:411" x14ac:dyDescent="0.25">
      <c r="A20" s="64"/>
      <c r="B20" s="35"/>
      <c r="C20" s="51">
        <f>H15*D20</f>
        <v>68371.20000000001</v>
      </c>
      <c r="D20" s="51">
        <f>'Rate Tables'!E12</f>
        <v>178.05</v>
      </c>
      <c r="E20" s="45" t="s">
        <v>45</v>
      </c>
      <c r="F20" s="38"/>
      <c r="G20" s="38"/>
      <c r="H20" s="38"/>
      <c r="I20" s="38"/>
      <c r="J20" s="39"/>
      <c r="K20" s="52">
        <v>0</v>
      </c>
      <c r="L20" s="53">
        <v>0</v>
      </c>
      <c r="M20" s="53">
        <v>0</v>
      </c>
      <c r="N20" s="53">
        <v>0</v>
      </c>
      <c r="O20" s="53">
        <v>0</v>
      </c>
      <c r="P20" s="54">
        <v>0</v>
      </c>
      <c r="Q20" s="54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4">
        <v>0</v>
      </c>
      <c r="X20" s="54">
        <v>192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4">
        <v>0</v>
      </c>
      <c r="AE20" s="54">
        <v>192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4">
        <v>0</v>
      </c>
      <c r="AL20" s="54">
        <v>0</v>
      </c>
      <c r="AM20" s="53">
        <v>0</v>
      </c>
      <c r="AN20" s="53">
        <v>0</v>
      </c>
      <c r="AO20" s="53">
        <v>0</v>
      </c>
      <c r="AP20" s="55">
        <v>0</v>
      </c>
      <c r="OU20" s="44" t="s">
        <v>64</v>
      </c>
    </row>
    <row r="21" ht="16" customHeight="1" spans="1:411" x14ac:dyDescent="0.25">
      <c r="A21" s="64"/>
      <c r="B21" s="35"/>
      <c r="C21" s="57">
        <f>I15*D21</f>
        <v>1820</v>
      </c>
      <c r="D21" s="57">
        <v>130</v>
      </c>
      <c r="E21" s="58" t="s">
        <v>46</v>
      </c>
      <c r="F21" s="38"/>
      <c r="G21" s="38"/>
      <c r="H21" s="38"/>
      <c r="I21" s="38"/>
      <c r="J21" s="39"/>
      <c r="K21" s="59">
        <v>0</v>
      </c>
      <c r="L21" s="60">
        <v>0</v>
      </c>
      <c r="M21" s="60">
        <v>0</v>
      </c>
      <c r="N21" s="60">
        <v>0</v>
      </c>
      <c r="O21" s="60">
        <v>0</v>
      </c>
      <c r="P21" s="61">
        <v>0</v>
      </c>
      <c r="Q21" s="61">
        <v>0</v>
      </c>
      <c r="R21" s="60">
        <v>0</v>
      </c>
      <c r="S21" s="60">
        <v>0</v>
      </c>
      <c r="T21" s="60">
        <v>0</v>
      </c>
      <c r="U21" s="60">
        <v>1</v>
      </c>
      <c r="V21" s="60">
        <v>1</v>
      </c>
      <c r="W21" s="61">
        <v>1</v>
      </c>
      <c r="X21" s="61">
        <v>1</v>
      </c>
      <c r="Y21" s="60">
        <v>1</v>
      </c>
      <c r="Z21" s="60">
        <v>1</v>
      </c>
      <c r="AA21" s="60">
        <v>1</v>
      </c>
      <c r="AB21" s="60">
        <v>1</v>
      </c>
      <c r="AC21" s="60">
        <v>1</v>
      </c>
      <c r="AD21" s="61">
        <v>1</v>
      </c>
      <c r="AE21" s="61">
        <v>1</v>
      </c>
      <c r="AF21" s="60">
        <v>1</v>
      </c>
      <c r="AG21" s="60">
        <v>1</v>
      </c>
      <c r="AH21" s="60">
        <v>1</v>
      </c>
      <c r="AI21" s="60">
        <v>0</v>
      </c>
      <c r="AJ21" s="60">
        <v>0</v>
      </c>
      <c r="AK21" s="61">
        <v>0</v>
      </c>
      <c r="AL21" s="61">
        <v>0</v>
      </c>
      <c r="AM21" s="60">
        <v>0</v>
      </c>
      <c r="AN21" s="60">
        <v>0</v>
      </c>
      <c r="AO21" s="60">
        <v>0</v>
      </c>
      <c r="AP21" s="62">
        <v>0</v>
      </c>
      <c r="OU21" s="50" t="s">
        <v>64</v>
      </c>
    </row>
    <row r="22" ht="16" customHeight="1" spans="1:411" x14ac:dyDescent="0.25">
      <c r="A22" s="16" t="s">
        <v>58</v>
      </c>
      <c r="B22" s="17"/>
      <c r="C22" s="65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65">
        <f>SUM(J7,J15)</f>
        <v>806255.52</v>
      </c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</row>
    <row r="2" ht="16" customHeight="1" spans="1: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ht="16" customHeight="1" spans="1: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ht="14" customHeight="1" spans="1:42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19</v>
      </c>
      <c r="L4" s="28"/>
      <c r="M4" s="28"/>
      <c r="N4" s="28"/>
      <c r="O4" s="28"/>
      <c r="P4" s="28"/>
      <c r="Q4" s="28"/>
      <c r="R4" s="28"/>
      <c r="S4" s="28"/>
      <c r="T4" s="28"/>
      <c r="U4" s="29" t="s">
        <v>20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8" t="s">
        <v>21</v>
      </c>
      <c r="AJ4" s="28"/>
      <c r="AK4" s="28"/>
      <c r="AL4" s="28"/>
      <c r="AM4" s="28"/>
      <c r="AN4" s="28"/>
      <c r="AO4" s="28"/>
      <c r="AP4" s="28"/>
    </row>
    <row r="5" ht="14" customHeight="1" spans="1: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0" t="s">
        <v>22</v>
      </c>
      <c r="L5" s="30" t="s">
        <v>23</v>
      </c>
      <c r="M5" s="30" t="s">
        <v>24</v>
      </c>
      <c r="N5" s="30" t="s">
        <v>25</v>
      </c>
      <c r="O5" s="30" t="s">
        <v>26</v>
      </c>
      <c r="P5" s="30" t="s">
        <v>27</v>
      </c>
      <c r="Q5" s="30" t="s">
        <v>28</v>
      </c>
      <c r="R5" s="30" t="s">
        <v>22</v>
      </c>
      <c r="S5" s="30" t="s">
        <v>23</v>
      </c>
      <c r="T5" s="30" t="s">
        <v>24</v>
      </c>
      <c r="U5" s="30" t="s">
        <v>25</v>
      </c>
      <c r="V5" s="30" t="s">
        <v>26</v>
      </c>
      <c r="W5" s="30" t="s">
        <v>27</v>
      </c>
      <c r="X5" s="30" t="s">
        <v>28</v>
      </c>
      <c r="Y5" s="30" t="s">
        <v>22</v>
      </c>
      <c r="Z5" s="30" t="s">
        <v>23</v>
      </c>
      <c r="AA5" s="30" t="s">
        <v>24</v>
      </c>
      <c r="AB5" s="30" t="s">
        <v>25</v>
      </c>
      <c r="AC5" s="30" t="s">
        <v>26</v>
      </c>
      <c r="AD5" s="30" t="s">
        <v>27</v>
      </c>
      <c r="AE5" s="30" t="s">
        <v>28</v>
      </c>
      <c r="AF5" s="30" t="s">
        <v>22</v>
      </c>
      <c r="AG5" s="30" t="s">
        <v>23</v>
      </c>
      <c r="AH5" s="30" t="s">
        <v>24</v>
      </c>
      <c r="AI5" s="30" t="s">
        <v>25</v>
      </c>
      <c r="AJ5" s="30" t="s">
        <v>26</v>
      </c>
      <c r="AK5" s="30" t="s">
        <v>27</v>
      </c>
      <c r="AL5" s="30" t="s">
        <v>28</v>
      </c>
      <c r="AM5" s="30" t="s">
        <v>22</v>
      </c>
      <c r="AN5" s="30" t="s">
        <v>23</v>
      </c>
      <c r="AO5" s="30" t="s">
        <v>24</v>
      </c>
      <c r="AP5" s="30" t="s">
        <v>25</v>
      </c>
    </row>
    <row r="6" ht="22" customHeight="1" spans="1:42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10</v>
      </c>
      <c r="K6" s="32">
        <v>46286</v>
      </c>
      <c r="L6" s="32">
        <f>K6+1</f>
        <v>46287</v>
      </c>
      <c r="M6" s="32">
        <f>L6+1</f>
        <v>46288</v>
      </c>
      <c r="N6" s="32">
        <f>M6+1</f>
        <v>46289</v>
      </c>
      <c r="O6" s="32">
        <f>N6+1</f>
        <v>46290</v>
      </c>
      <c r="P6" s="33">
        <f>O6+1</f>
        <v>46291</v>
      </c>
      <c r="Q6" s="33">
        <f>P6+1</f>
        <v>46292</v>
      </c>
      <c r="R6" s="32">
        <f>Q6+1</f>
        <v>46293</v>
      </c>
      <c r="S6" s="32">
        <f>R6+1</f>
        <v>46294</v>
      </c>
      <c r="T6" s="32">
        <f>S6+1</f>
        <v>46295</v>
      </c>
      <c r="U6" s="32">
        <f>T6+1</f>
        <v>46296</v>
      </c>
      <c r="V6" s="32">
        <f>U6+1</f>
        <v>46297</v>
      </c>
      <c r="W6" s="33">
        <f>V6+1</f>
        <v>46298</v>
      </c>
      <c r="X6" s="33">
        <f>W6+1</f>
        <v>46299</v>
      </c>
      <c r="Y6" s="32">
        <f>X6+1</f>
        <v>46300</v>
      </c>
      <c r="Z6" s="32">
        <f>Y6+1</f>
        <v>46301</v>
      </c>
      <c r="AA6" s="32">
        <f>Z6+1</f>
        <v>46302</v>
      </c>
      <c r="AB6" s="32">
        <f>AA6+1</f>
        <v>46303</v>
      </c>
      <c r="AC6" s="32">
        <f>AB6+1</f>
        <v>46304</v>
      </c>
      <c r="AD6" s="33">
        <f>AC6+1</f>
        <v>46305</v>
      </c>
      <c r="AE6" s="33">
        <f>AD6+1</f>
        <v>46306</v>
      </c>
      <c r="AF6" s="32">
        <f>AE6+1</f>
        <v>46307</v>
      </c>
      <c r="AG6" s="32">
        <f>AF6+1</f>
        <v>46308</v>
      </c>
      <c r="AH6" s="32">
        <f>AG6+1</f>
        <v>46309</v>
      </c>
      <c r="AI6" s="32">
        <f>AH6+1</f>
        <v>46310</v>
      </c>
      <c r="AJ6" s="32">
        <f>AI6+1</f>
        <v>46311</v>
      </c>
      <c r="AK6" s="33">
        <f>AJ6+1</f>
        <v>46312</v>
      </c>
      <c r="AL6" s="33">
        <f>AK6+1</f>
        <v>46313</v>
      </c>
      <c r="AM6" s="32">
        <f>AL6+1</f>
        <v>46314</v>
      </c>
      <c r="AN6" s="32">
        <f>AM6+1</f>
        <v>46315</v>
      </c>
      <c r="AO6" s="32">
        <f>AN6+1</f>
        <v>46316</v>
      </c>
      <c r="AP6" s="32">
        <f>AO6+1</f>
        <v>46317</v>
      </c>
    </row>
    <row r="7" ht="16" customHeight="1" spans="1:411" x14ac:dyDescent="0.25">
      <c r="A7" s="34" t="s">
        <v>38</v>
      </c>
      <c r="B7" s="67" t="s">
        <v>65</v>
      </c>
      <c r="C7" s="36">
        <f>J7</f>
        <v>35319.439999999995</v>
      </c>
      <c r="D7" s="37"/>
      <c r="E7" s="37"/>
      <c r="F7" s="38">
        <f>SUM(K10:AP10)</f>
        <v>192</v>
      </c>
      <c r="G7" s="38">
        <f>SUM(K11:AP11)</f>
        <v>64</v>
      </c>
      <c r="H7" s="38">
        <f>SUM(K12:AP12)</f>
        <v>24</v>
      </c>
      <c r="I7" s="38">
        <f>SUM(K13:AP13)</f>
        <v>28</v>
      </c>
      <c r="J7" s="39">
        <f>C10+C11+C12</f>
        <v>35319.439999999995</v>
      </c>
      <c r="K7" s="40"/>
      <c r="L7" s="41"/>
      <c r="M7" s="41"/>
      <c r="N7" s="41"/>
      <c r="O7" s="41"/>
      <c r="P7" s="42"/>
      <c r="Q7" s="42"/>
      <c r="R7" s="41"/>
      <c r="S7" s="41"/>
      <c r="T7" s="41"/>
      <c r="U7" s="41"/>
      <c r="V7" s="41"/>
      <c r="W7" s="42"/>
      <c r="X7" s="42"/>
      <c r="Y7" s="41"/>
      <c r="Z7" s="41"/>
      <c r="AA7" s="41"/>
      <c r="AB7" s="41"/>
      <c r="AC7" s="41"/>
      <c r="AD7" s="42"/>
      <c r="AE7" s="42"/>
      <c r="AF7" s="41"/>
      <c r="AG7" s="41"/>
      <c r="AH7" s="41"/>
      <c r="AI7" s="41"/>
      <c r="AJ7" s="41"/>
      <c r="AK7" s="42"/>
      <c r="AL7" s="42"/>
      <c r="AM7" s="41"/>
      <c r="AN7" s="41"/>
      <c r="AO7" s="41"/>
      <c r="AP7" s="43"/>
      <c r="OU7" s="44" t="s">
        <v>66</v>
      </c>
    </row>
    <row r="8" ht="16" customHeight="1" spans="1:411" x14ac:dyDescent="0.25">
      <c r="A8" s="34"/>
      <c r="B8" s="67"/>
      <c r="C8" s="36"/>
      <c r="D8" s="37"/>
      <c r="E8" s="45" t="s">
        <v>41</v>
      </c>
      <c r="F8" s="38"/>
      <c r="G8" s="38"/>
      <c r="H8" s="38"/>
      <c r="I8" s="38"/>
      <c r="J8" s="39"/>
      <c r="K8" s="46">
        <v>1</v>
      </c>
      <c r="L8" s="47">
        <v>1</v>
      </c>
      <c r="M8" s="47">
        <v>1</v>
      </c>
      <c r="N8" s="47">
        <v>1</v>
      </c>
      <c r="O8" s="47">
        <v>1</v>
      </c>
      <c r="P8" s="48">
        <v>0</v>
      </c>
      <c r="Q8" s="48">
        <v>0</v>
      </c>
      <c r="R8" s="47">
        <v>1</v>
      </c>
      <c r="S8" s="47">
        <v>1</v>
      </c>
      <c r="T8" s="47">
        <v>1</v>
      </c>
      <c r="U8" s="47">
        <v>1</v>
      </c>
      <c r="V8" s="47">
        <v>1</v>
      </c>
      <c r="W8" s="48">
        <v>1</v>
      </c>
      <c r="X8" s="48">
        <v>1</v>
      </c>
      <c r="Y8" s="47">
        <v>1</v>
      </c>
      <c r="Z8" s="47">
        <v>1</v>
      </c>
      <c r="AA8" s="47">
        <v>1</v>
      </c>
      <c r="AB8" s="47">
        <v>1</v>
      </c>
      <c r="AC8" s="47">
        <v>1</v>
      </c>
      <c r="AD8" s="48">
        <v>1</v>
      </c>
      <c r="AE8" s="48">
        <v>1</v>
      </c>
      <c r="AF8" s="47">
        <v>1</v>
      </c>
      <c r="AG8" s="47">
        <v>1</v>
      </c>
      <c r="AH8" s="47">
        <v>1</v>
      </c>
      <c r="AI8" s="47">
        <v>1</v>
      </c>
      <c r="AJ8" s="47">
        <v>1</v>
      </c>
      <c r="AK8" s="48">
        <v>0</v>
      </c>
      <c r="AL8" s="48">
        <v>0</v>
      </c>
      <c r="AM8" s="47">
        <v>1</v>
      </c>
      <c r="AN8" s="47">
        <v>1</v>
      </c>
      <c r="AO8" s="47">
        <v>1</v>
      </c>
      <c r="AP8" s="49">
        <v>1</v>
      </c>
      <c r="OU8" s="50" t="s">
        <v>66</v>
      </c>
    </row>
    <row r="9" ht="16" customHeight="1" spans="1:411" x14ac:dyDescent="0.25">
      <c r="A9" s="34"/>
      <c r="B9" s="67"/>
      <c r="C9" s="36"/>
      <c r="D9" s="37"/>
      <c r="E9" s="45" t="s">
        <v>42</v>
      </c>
      <c r="F9" s="38"/>
      <c r="G9" s="38"/>
      <c r="H9" s="38"/>
      <c r="I9" s="38"/>
      <c r="J9" s="39"/>
      <c r="K9" s="46">
        <v>8</v>
      </c>
      <c r="L9" s="47">
        <v>8</v>
      </c>
      <c r="M9" s="47">
        <v>8</v>
      </c>
      <c r="N9" s="47">
        <v>8</v>
      </c>
      <c r="O9" s="47">
        <v>8</v>
      </c>
      <c r="P9" s="48">
        <v>0</v>
      </c>
      <c r="Q9" s="48">
        <v>0</v>
      </c>
      <c r="R9" s="47">
        <v>8</v>
      </c>
      <c r="S9" s="47">
        <v>8</v>
      </c>
      <c r="T9" s="47">
        <v>8</v>
      </c>
      <c r="U9" s="47">
        <v>12</v>
      </c>
      <c r="V9" s="47">
        <v>12</v>
      </c>
      <c r="W9" s="48">
        <v>12</v>
      </c>
      <c r="X9" s="48">
        <v>12</v>
      </c>
      <c r="Y9" s="47">
        <v>12</v>
      </c>
      <c r="Z9" s="47">
        <v>12</v>
      </c>
      <c r="AA9" s="47">
        <v>12</v>
      </c>
      <c r="AB9" s="47">
        <v>12</v>
      </c>
      <c r="AC9" s="47">
        <v>12</v>
      </c>
      <c r="AD9" s="48">
        <v>12</v>
      </c>
      <c r="AE9" s="48">
        <v>12</v>
      </c>
      <c r="AF9" s="47">
        <v>12</v>
      </c>
      <c r="AG9" s="47">
        <v>12</v>
      </c>
      <c r="AH9" s="47">
        <v>12</v>
      </c>
      <c r="AI9" s="47">
        <v>8</v>
      </c>
      <c r="AJ9" s="47">
        <v>8</v>
      </c>
      <c r="AK9" s="48">
        <v>0</v>
      </c>
      <c r="AL9" s="48">
        <v>0</v>
      </c>
      <c r="AM9" s="47">
        <v>8</v>
      </c>
      <c r="AN9" s="47">
        <v>8</v>
      </c>
      <c r="AO9" s="47">
        <v>8</v>
      </c>
      <c r="AP9" s="49">
        <v>8</v>
      </c>
      <c r="OU9" s="50" t="s">
        <v>66</v>
      </c>
    </row>
    <row r="10" ht="16" customHeight="1" spans="1:411" x14ac:dyDescent="0.25">
      <c r="A10" s="34"/>
      <c r="B10" s="68" t="s">
        <v>67</v>
      </c>
      <c r="C10" s="51">
        <f>F7*D10</f>
        <v>20808.96</v>
      </c>
      <c r="D10" s="51">
        <f>'Rate Tables'!C13</f>
        <v>108.38</v>
      </c>
      <c r="E10" s="45" t="s">
        <v>43</v>
      </c>
      <c r="F10" s="38"/>
      <c r="G10" s="38"/>
      <c r="H10" s="38"/>
      <c r="I10" s="38"/>
      <c r="J10" s="39"/>
      <c r="K10" s="52">
        <v>8</v>
      </c>
      <c r="L10" s="53">
        <v>8</v>
      </c>
      <c r="M10" s="53">
        <v>8</v>
      </c>
      <c r="N10" s="53">
        <v>8</v>
      </c>
      <c r="O10" s="53">
        <v>8</v>
      </c>
      <c r="P10" s="54">
        <v>0</v>
      </c>
      <c r="Q10" s="54">
        <v>0</v>
      </c>
      <c r="R10" s="53">
        <v>8</v>
      </c>
      <c r="S10" s="53">
        <v>8</v>
      </c>
      <c r="T10" s="53">
        <v>8</v>
      </c>
      <c r="U10" s="53">
        <v>8</v>
      </c>
      <c r="V10" s="53">
        <v>8</v>
      </c>
      <c r="W10" s="54">
        <v>0</v>
      </c>
      <c r="X10" s="54">
        <v>0</v>
      </c>
      <c r="Y10" s="53">
        <v>8</v>
      </c>
      <c r="Z10" s="53">
        <v>8</v>
      </c>
      <c r="AA10" s="53">
        <v>8</v>
      </c>
      <c r="AB10" s="53">
        <v>8</v>
      </c>
      <c r="AC10" s="53">
        <v>8</v>
      </c>
      <c r="AD10" s="54">
        <v>0</v>
      </c>
      <c r="AE10" s="54">
        <v>0</v>
      </c>
      <c r="AF10" s="53">
        <v>8</v>
      </c>
      <c r="AG10" s="53">
        <v>8</v>
      </c>
      <c r="AH10" s="53">
        <v>8</v>
      </c>
      <c r="AI10" s="53">
        <v>8</v>
      </c>
      <c r="AJ10" s="53">
        <v>8</v>
      </c>
      <c r="AK10" s="54">
        <v>0</v>
      </c>
      <c r="AL10" s="54">
        <v>0</v>
      </c>
      <c r="AM10" s="53">
        <v>8</v>
      </c>
      <c r="AN10" s="53">
        <v>8</v>
      </c>
      <c r="AO10" s="53">
        <v>8</v>
      </c>
      <c r="AP10" s="55">
        <v>8</v>
      </c>
      <c r="OU10" s="44" t="s">
        <v>66</v>
      </c>
    </row>
    <row r="11" ht="16" customHeight="1" spans="1:411" x14ac:dyDescent="0.25">
      <c r="A11" s="34"/>
      <c r="B11" s="69" t="s">
        <v>68</v>
      </c>
      <c r="C11" s="56">
        <f>G7*D11</f>
        <v>9777.92</v>
      </c>
      <c r="D11" s="56">
        <f>'Rate Tables'!D13</f>
        <v>152.78</v>
      </c>
      <c r="E11" s="45" t="s">
        <v>44</v>
      </c>
      <c r="F11" s="38"/>
      <c r="G11" s="38"/>
      <c r="H11" s="38"/>
      <c r="I11" s="38"/>
      <c r="J11" s="39"/>
      <c r="K11" s="52">
        <v>0</v>
      </c>
      <c r="L11" s="53">
        <v>0</v>
      </c>
      <c r="M11" s="53">
        <v>0</v>
      </c>
      <c r="N11" s="53">
        <v>0</v>
      </c>
      <c r="O11" s="53">
        <v>0</v>
      </c>
      <c r="P11" s="54">
        <v>0</v>
      </c>
      <c r="Q11" s="54">
        <v>0</v>
      </c>
      <c r="R11" s="53">
        <v>0</v>
      </c>
      <c r="S11" s="53">
        <v>0</v>
      </c>
      <c r="T11" s="53">
        <v>0</v>
      </c>
      <c r="U11" s="53">
        <v>4</v>
      </c>
      <c r="V11" s="53">
        <v>4</v>
      </c>
      <c r="W11" s="54">
        <v>12</v>
      </c>
      <c r="X11" s="54">
        <v>0</v>
      </c>
      <c r="Y11" s="53">
        <v>4</v>
      </c>
      <c r="Z11" s="53">
        <v>4</v>
      </c>
      <c r="AA11" s="53">
        <v>4</v>
      </c>
      <c r="AB11" s="53">
        <v>4</v>
      </c>
      <c r="AC11" s="53">
        <v>4</v>
      </c>
      <c r="AD11" s="54">
        <v>12</v>
      </c>
      <c r="AE11" s="54">
        <v>0</v>
      </c>
      <c r="AF11" s="53">
        <v>4</v>
      </c>
      <c r="AG11" s="53">
        <v>4</v>
      </c>
      <c r="AH11" s="53">
        <v>4</v>
      </c>
      <c r="AI11" s="53">
        <v>0</v>
      </c>
      <c r="AJ11" s="53">
        <v>0</v>
      </c>
      <c r="AK11" s="54">
        <v>0</v>
      </c>
      <c r="AL11" s="54">
        <v>0</v>
      </c>
      <c r="AM11" s="53">
        <v>0</v>
      </c>
      <c r="AN11" s="53">
        <v>0</v>
      </c>
      <c r="AO11" s="53">
        <v>0</v>
      </c>
      <c r="AP11" s="55">
        <v>0</v>
      </c>
      <c r="OU11" s="44" t="s">
        <v>66</v>
      </c>
    </row>
    <row r="12" ht="16" customHeight="1" spans="1:411" x14ac:dyDescent="0.25">
      <c r="A12" s="34"/>
      <c r="B12" s="69"/>
      <c r="C12" s="51">
        <f>H7*D12</f>
        <v>4732.5599999999995</v>
      </c>
      <c r="D12" s="51">
        <f>'Rate Tables'!E13</f>
        <v>197.19</v>
      </c>
      <c r="E12" s="45" t="s">
        <v>45</v>
      </c>
      <c r="F12" s="38"/>
      <c r="G12" s="38"/>
      <c r="H12" s="38"/>
      <c r="I12" s="38"/>
      <c r="J12" s="39"/>
      <c r="K12" s="52">
        <v>0</v>
      </c>
      <c r="L12" s="53">
        <v>0</v>
      </c>
      <c r="M12" s="53">
        <v>0</v>
      </c>
      <c r="N12" s="53">
        <v>0</v>
      </c>
      <c r="O12" s="53">
        <v>0</v>
      </c>
      <c r="P12" s="54">
        <v>0</v>
      </c>
      <c r="Q12" s="54">
        <v>0</v>
      </c>
      <c r="R12" s="53">
        <v>0</v>
      </c>
      <c r="S12" s="53">
        <v>0</v>
      </c>
      <c r="T12" s="53">
        <v>0</v>
      </c>
      <c r="U12" s="53">
        <v>0</v>
      </c>
      <c r="V12" s="53">
        <v>0</v>
      </c>
      <c r="W12" s="54">
        <v>0</v>
      </c>
      <c r="X12" s="54">
        <v>12</v>
      </c>
      <c r="Y12" s="53">
        <v>0</v>
      </c>
      <c r="Z12" s="53">
        <v>0</v>
      </c>
      <c r="AA12" s="53">
        <v>0</v>
      </c>
      <c r="AB12" s="53">
        <v>0</v>
      </c>
      <c r="AC12" s="53">
        <v>0</v>
      </c>
      <c r="AD12" s="54">
        <v>0</v>
      </c>
      <c r="AE12" s="54">
        <v>12</v>
      </c>
      <c r="AF12" s="53">
        <v>0</v>
      </c>
      <c r="AG12" s="53">
        <v>0</v>
      </c>
      <c r="AH12" s="53">
        <v>0</v>
      </c>
      <c r="AI12" s="53">
        <v>0</v>
      </c>
      <c r="AJ12" s="53">
        <v>0</v>
      </c>
      <c r="AK12" s="54">
        <v>0</v>
      </c>
      <c r="AL12" s="54">
        <v>0</v>
      </c>
      <c r="AM12" s="53">
        <v>0</v>
      </c>
      <c r="AN12" s="53">
        <v>0</v>
      </c>
      <c r="AO12" s="53">
        <v>0</v>
      </c>
      <c r="AP12" s="55">
        <v>0</v>
      </c>
      <c r="OU12" s="44" t="s">
        <v>66</v>
      </c>
    </row>
    <row r="13" ht="16" customHeight="1" spans="1:411" x14ac:dyDescent="0.25">
      <c r="A13" s="34"/>
      <c r="B13" s="69"/>
      <c r="C13" s="57">
        <f>I7*D13</f>
        <v>3640</v>
      </c>
      <c r="D13" s="57">
        <v>130</v>
      </c>
      <c r="E13" s="58" t="s">
        <v>46</v>
      </c>
      <c r="F13" s="38"/>
      <c r="G13" s="38"/>
      <c r="H13" s="38"/>
      <c r="I13" s="38"/>
      <c r="J13" s="39"/>
      <c r="K13" s="59">
        <v>1</v>
      </c>
      <c r="L13" s="60">
        <v>1</v>
      </c>
      <c r="M13" s="60">
        <v>1</v>
      </c>
      <c r="N13" s="60">
        <v>1</v>
      </c>
      <c r="O13" s="60">
        <v>1</v>
      </c>
      <c r="P13" s="61">
        <v>0</v>
      </c>
      <c r="Q13" s="61">
        <v>0</v>
      </c>
      <c r="R13" s="60">
        <v>1</v>
      </c>
      <c r="S13" s="60">
        <v>1</v>
      </c>
      <c r="T13" s="60">
        <v>1</v>
      </c>
      <c r="U13" s="60">
        <v>1</v>
      </c>
      <c r="V13" s="60">
        <v>1</v>
      </c>
      <c r="W13" s="61">
        <v>1</v>
      </c>
      <c r="X13" s="61">
        <v>1</v>
      </c>
      <c r="Y13" s="60">
        <v>1</v>
      </c>
      <c r="Z13" s="60">
        <v>1</v>
      </c>
      <c r="AA13" s="60">
        <v>1</v>
      </c>
      <c r="AB13" s="60">
        <v>1</v>
      </c>
      <c r="AC13" s="60">
        <v>1</v>
      </c>
      <c r="AD13" s="61">
        <v>1</v>
      </c>
      <c r="AE13" s="61">
        <v>1</v>
      </c>
      <c r="AF13" s="60">
        <v>1</v>
      </c>
      <c r="AG13" s="60">
        <v>1</v>
      </c>
      <c r="AH13" s="60">
        <v>1</v>
      </c>
      <c r="AI13" s="60">
        <v>1</v>
      </c>
      <c r="AJ13" s="60">
        <v>1</v>
      </c>
      <c r="AK13" s="61">
        <v>0</v>
      </c>
      <c r="AL13" s="61">
        <v>0</v>
      </c>
      <c r="AM13" s="60">
        <v>1</v>
      </c>
      <c r="AN13" s="60">
        <v>1</v>
      </c>
      <c r="AO13" s="60">
        <v>1</v>
      </c>
      <c r="AP13" s="62">
        <v>1</v>
      </c>
      <c r="OU13" s="50" t="s">
        <v>66</v>
      </c>
    </row>
    <row r="14" ht="8" customHeight="1" spans="1:42" x14ac:dyDescent="0.25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</row>
    <row r="15" ht="16" customHeight="1" spans="1:411" x14ac:dyDescent="0.25">
      <c r="A15" s="64" t="s">
        <v>47</v>
      </c>
      <c r="B15" s="67" t="s">
        <v>65</v>
      </c>
      <c r="C15" s="36">
        <f>J15</f>
        <v>23180.879999999997</v>
      </c>
      <c r="D15" s="37"/>
      <c r="E15" s="37"/>
      <c r="F15" s="38">
        <f>SUM(K18:AP18)</f>
        <v>80</v>
      </c>
      <c r="G15" s="38">
        <f>SUM(K19:AP19)</f>
        <v>64</v>
      </c>
      <c r="H15" s="38">
        <f>SUM(K20:AP20)</f>
        <v>24</v>
      </c>
      <c r="I15" s="38">
        <f>SUM(K21:AP21)</f>
        <v>14</v>
      </c>
      <c r="J15" s="39">
        <f>C18+C19+C20</f>
        <v>23180.879999999997</v>
      </c>
      <c r="K15" s="40"/>
      <c r="L15" s="41"/>
      <c r="M15" s="41"/>
      <c r="N15" s="41"/>
      <c r="O15" s="41"/>
      <c r="P15" s="42"/>
      <c r="Q15" s="42"/>
      <c r="R15" s="41"/>
      <c r="S15" s="41"/>
      <c r="T15" s="41"/>
      <c r="U15" s="41"/>
      <c r="V15" s="41"/>
      <c r="W15" s="42"/>
      <c r="X15" s="42"/>
      <c r="Y15" s="41"/>
      <c r="Z15" s="41"/>
      <c r="AA15" s="41"/>
      <c r="AB15" s="41"/>
      <c r="AC15" s="41"/>
      <c r="AD15" s="42"/>
      <c r="AE15" s="42"/>
      <c r="AF15" s="41"/>
      <c r="AG15" s="41"/>
      <c r="AH15" s="41"/>
      <c r="AI15" s="41"/>
      <c r="AJ15" s="41"/>
      <c r="AK15" s="42"/>
      <c r="AL15" s="42"/>
      <c r="AM15" s="41"/>
      <c r="AN15" s="41"/>
      <c r="AO15" s="41"/>
      <c r="AP15" s="43"/>
      <c r="OU15" s="44" t="s">
        <v>69</v>
      </c>
    </row>
    <row r="16" ht="16" customHeight="1" spans="1:411" x14ac:dyDescent="0.25">
      <c r="A16" s="64"/>
      <c r="B16" s="67"/>
      <c r="C16" s="36"/>
      <c r="D16" s="37"/>
      <c r="E16" s="45" t="s">
        <v>41</v>
      </c>
      <c r="F16" s="38"/>
      <c r="G16" s="38"/>
      <c r="H16" s="38"/>
      <c r="I16" s="38"/>
      <c r="J16" s="39"/>
      <c r="K16" s="46">
        <v>0</v>
      </c>
      <c r="L16" s="47">
        <v>0</v>
      </c>
      <c r="M16" s="47">
        <v>0</v>
      </c>
      <c r="N16" s="47">
        <v>0</v>
      </c>
      <c r="O16" s="47">
        <v>0</v>
      </c>
      <c r="P16" s="48">
        <v>0</v>
      </c>
      <c r="Q16" s="48">
        <v>0</v>
      </c>
      <c r="R16" s="47">
        <v>0</v>
      </c>
      <c r="S16" s="47">
        <v>0</v>
      </c>
      <c r="T16" s="47">
        <v>0</v>
      </c>
      <c r="U16" s="47">
        <v>1</v>
      </c>
      <c r="V16" s="47">
        <v>1</v>
      </c>
      <c r="W16" s="48">
        <v>1</v>
      </c>
      <c r="X16" s="48">
        <v>1</v>
      </c>
      <c r="Y16" s="47">
        <v>1</v>
      </c>
      <c r="Z16" s="47">
        <v>1</v>
      </c>
      <c r="AA16" s="47">
        <v>1</v>
      </c>
      <c r="AB16" s="47">
        <v>1</v>
      </c>
      <c r="AC16" s="47">
        <v>1</v>
      </c>
      <c r="AD16" s="48">
        <v>1</v>
      </c>
      <c r="AE16" s="48">
        <v>1</v>
      </c>
      <c r="AF16" s="47">
        <v>1</v>
      </c>
      <c r="AG16" s="47">
        <v>1</v>
      </c>
      <c r="AH16" s="47">
        <v>1</v>
      </c>
      <c r="AI16" s="47">
        <v>0</v>
      </c>
      <c r="AJ16" s="47">
        <v>0</v>
      </c>
      <c r="AK16" s="48">
        <v>0</v>
      </c>
      <c r="AL16" s="48">
        <v>0</v>
      </c>
      <c r="AM16" s="47">
        <v>0</v>
      </c>
      <c r="AN16" s="47">
        <v>0</v>
      </c>
      <c r="AO16" s="47">
        <v>0</v>
      </c>
      <c r="AP16" s="49">
        <v>0</v>
      </c>
      <c r="OU16" s="50" t="s">
        <v>69</v>
      </c>
    </row>
    <row r="17" ht="16" customHeight="1" spans="1:411" x14ac:dyDescent="0.25">
      <c r="A17" s="64"/>
      <c r="B17" s="67"/>
      <c r="C17" s="36"/>
      <c r="D17" s="37"/>
      <c r="E17" s="45" t="s">
        <v>42</v>
      </c>
      <c r="F17" s="38"/>
      <c r="G17" s="38"/>
      <c r="H17" s="38"/>
      <c r="I17" s="38"/>
      <c r="J17" s="39"/>
      <c r="K17" s="46">
        <v>0</v>
      </c>
      <c r="L17" s="47">
        <v>0</v>
      </c>
      <c r="M17" s="47">
        <v>0</v>
      </c>
      <c r="N17" s="47">
        <v>0</v>
      </c>
      <c r="O17" s="47">
        <v>0</v>
      </c>
      <c r="P17" s="48">
        <v>0</v>
      </c>
      <c r="Q17" s="48">
        <v>0</v>
      </c>
      <c r="R17" s="47">
        <v>0</v>
      </c>
      <c r="S17" s="47">
        <v>0</v>
      </c>
      <c r="T17" s="47">
        <v>0</v>
      </c>
      <c r="U17" s="47">
        <v>12</v>
      </c>
      <c r="V17" s="47">
        <v>12</v>
      </c>
      <c r="W17" s="48">
        <v>12</v>
      </c>
      <c r="X17" s="48">
        <v>12</v>
      </c>
      <c r="Y17" s="47">
        <v>12</v>
      </c>
      <c r="Z17" s="47">
        <v>12</v>
      </c>
      <c r="AA17" s="47">
        <v>12</v>
      </c>
      <c r="AB17" s="47">
        <v>12</v>
      </c>
      <c r="AC17" s="47">
        <v>12</v>
      </c>
      <c r="AD17" s="48">
        <v>12</v>
      </c>
      <c r="AE17" s="48">
        <v>12</v>
      </c>
      <c r="AF17" s="47">
        <v>12</v>
      </c>
      <c r="AG17" s="47">
        <v>12</v>
      </c>
      <c r="AH17" s="47">
        <v>12</v>
      </c>
      <c r="AI17" s="47">
        <v>0</v>
      </c>
      <c r="AJ17" s="47">
        <v>0</v>
      </c>
      <c r="AK17" s="48">
        <v>0</v>
      </c>
      <c r="AL17" s="48">
        <v>0</v>
      </c>
      <c r="AM17" s="47">
        <v>0</v>
      </c>
      <c r="AN17" s="47">
        <v>0</v>
      </c>
      <c r="AO17" s="47">
        <v>0</v>
      </c>
      <c r="AP17" s="49">
        <v>0</v>
      </c>
      <c r="OU17" s="50" t="s">
        <v>69</v>
      </c>
    </row>
    <row r="18" ht="16" customHeight="1" spans="1:411" x14ac:dyDescent="0.25">
      <c r="A18" s="64"/>
      <c r="B18" s="68" t="s">
        <v>67</v>
      </c>
      <c r="C18" s="51">
        <f>F15*D18</f>
        <v>8670.4</v>
      </c>
      <c r="D18" s="51">
        <f>'Rate Tables'!C13</f>
        <v>108.38</v>
      </c>
      <c r="E18" s="45" t="s">
        <v>43</v>
      </c>
      <c r="F18" s="38"/>
      <c r="G18" s="38"/>
      <c r="H18" s="38"/>
      <c r="I18" s="38"/>
      <c r="J18" s="39"/>
      <c r="K18" s="52">
        <v>0</v>
      </c>
      <c r="L18" s="53">
        <v>0</v>
      </c>
      <c r="M18" s="53">
        <v>0</v>
      </c>
      <c r="N18" s="53">
        <v>0</v>
      </c>
      <c r="O18" s="53">
        <v>0</v>
      </c>
      <c r="P18" s="54">
        <v>0</v>
      </c>
      <c r="Q18" s="54">
        <v>0</v>
      </c>
      <c r="R18" s="53">
        <v>0</v>
      </c>
      <c r="S18" s="53">
        <v>0</v>
      </c>
      <c r="T18" s="53">
        <v>0</v>
      </c>
      <c r="U18" s="53">
        <v>8</v>
      </c>
      <c r="V18" s="53">
        <v>8</v>
      </c>
      <c r="W18" s="54">
        <v>0</v>
      </c>
      <c r="X18" s="54">
        <v>0</v>
      </c>
      <c r="Y18" s="53">
        <v>8</v>
      </c>
      <c r="Z18" s="53">
        <v>8</v>
      </c>
      <c r="AA18" s="53">
        <v>8</v>
      </c>
      <c r="AB18" s="53">
        <v>8</v>
      </c>
      <c r="AC18" s="53">
        <v>8</v>
      </c>
      <c r="AD18" s="54">
        <v>0</v>
      </c>
      <c r="AE18" s="54">
        <v>0</v>
      </c>
      <c r="AF18" s="53">
        <v>8</v>
      </c>
      <c r="AG18" s="53">
        <v>8</v>
      </c>
      <c r="AH18" s="53">
        <v>8</v>
      </c>
      <c r="AI18" s="53">
        <v>0</v>
      </c>
      <c r="AJ18" s="53">
        <v>0</v>
      </c>
      <c r="AK18" s="54">
        <v>0</v>
      </c>
      <c r="AL18" s="54">
        <v>0</v>
      </c>
      <c r="AM18" s="53">
        <v>0</v>
      </c>
      <c r="AN18" s="53">
        <v>0</v>
      </c>
      <c r="AO18" s="53">
        <v>0</v>
      </c>
      <c r="AP18" s="55">
        <v>0</v>
      </c>
      <c r="OU18" s="44" t="s">
        <v>69</v>
      </c>
    </row>
    <row r="19" ht="16" customHeight="1" spans="1:411" x14ac:dyDescent="0.25">
      <c r="A19" s="64"/>
      <c r="B19" s="69" t="s">
        <v>68</v>
      </c>
      <c r="C19" s="56">
        <f>G15*D19</f>
        <v>9777.92</v>
      </c>
      <c r="D19" s="56">
        <f>'Rate Tables'!D13</f>
        <v>152.78</v>
      </c>
      <c r="E19" s="45" t="s">
        <v>44</v>
      </c>
      <c r="F19" s="38"/>
      <c r="G19" s="38"/>
      <c r="H19" s="38"/>
      <c r="I19" s="38"/>
      <c r="J19" s="39"/>
      <c r="K19" s="52">
        <v>0</v>
      </c>
      <c r="L19" s="53">
        <v>0</v>
      </c>
      <c r="M19" s="53">
        <v>0</v>
      </c>
      <c r="N19" s="53">
        <v>0</v>
      </c>
      <c r="O19" s="53">
        <v>0</v>
      </c>
      <c r="P19" s="54">
        <v>0</v>
      </c>
      <c r="Q19" s="54">
        <v>0</v>
      </c>
      <c r="R19" s="53">
        <v>0</v>
      </c>
      <c r="S19" s="53">
        <v>0</v>
      </c>
      <c r="T19" s="53">
        <v>0</v>
      </c>
      <c r="U19" s="53">
        <v>4</v>
      </c>
      <c r="V19" s="53">
        <v>4</v>
      </c>
      <c r="W19" s="54">
        <v>12</v>
      </c>
      <c r="X19" s="54">
        <v>0</v>
      </c>
      <c r="Y19" s="53">
        <v>4</v>
      </c>
      <c r="Z19" s="53">
        <v>4</v>
      </c>
      <c r="AA19" s="53">
        <v>4</v>
      </c>
      <c r="AB19" s="53">
        <v>4</v>
      </c>
      <c r="AC19" s="53">
        <v>4</v>
      </c>
      <c r="AD19" s="54">
        <v>12</v>
      </c>
      <c r="AE19" s="54">
        <v>0</v>
      </c>
      <c r="AF19" s="53">
        <v>4</v>
      </c>
      <c r="AG19" s="53">
        <v>4</v>
      </c>
      <c r="AH19" s="53">
        <v>4</v>
      </c>
      <c r="AI19" s="53">
        <v>0</v>
      </c>
      <c r="AJ19" s="53">
        <v>0</v>
      </c>
      <c r="AK19" s="54">
        <v>0</v>
      </c>
      <c r="AL19" s="54">
        <v>0</v>
      </c>
      <c r="AM19" s="53">
        <v>0</v>
      </c>
      <c r="AN19" s="53">
        <v>0</v>
      </c>
      <c r="AO19" s="53">
        <v>0</v>
      </c>
      <c r="AP19" s="55">
        <v>0</v>
      </c>
      <c r="OU19" s="44" t="s">
        <v>69</v>
      </c>
    </row>
    <row r="20" ht="16" customHeight="1" spans="1:411" x14ac:dyDescent="0.25">
      <c r="A20" s="64"/>
      <c r="B20" s="69"/>
      <c r="C20" s="51">
        <f>H15*D20</f>
        <v>4732.5599999999995</v>
      </c>
      <c r="D20" s="51">
        <f>'Rate Tables'!E13</f>
        <v>197.19</v>
      </c>
      <c r="E20" s="45" t="s">
        <v>45</v>
      </c>
      <c r="F20" s="38"/>
      <c r="G20" s="38"/>
      <c r="H20" s="38"/>
      <c r="I20" s="38"/>
      <c r="J20" s="39"/>
      <c r="K20" s="52">
        <v>0</v>
      </c>
      <c r="L20" s="53">
        <v>0</v>
      </c>
      <c r="M20" s="53">
        <v>0</v>
      </c>
      <c r="N20" s="53">
        <v>0</v>
      </c>
      <c r="O20" s="53">
        <v>0</v>
      </c>
      <c r="P20" s="54">
        <v>0</v>
      </c>
      <c r="Q20" s="54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4">
        <v>0</v>
      </c>
      <c r="X20" s="54">
        <v>12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4">
        <v>0</v>
      </c>
      <c r="AE20" s="54">
        <v>12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4">
        <v>0</v>
      </c>
      <c r="AL20" s="54">
        <v>0</v>
      </c>
      <c r="AM20" s="53">
        <v>0</v>
      </c>
      <c r="AN20" s="53">
        <v>0</v>
      </c>
      <c r="AO20" s="53">
        <v>0</v>
      </c>
      <c r="AP20" s="55">
        <v>0</v>
      </c>
      <c r="OU20" s="44" t="s">
        <v>69</v>
      </c>
    </row>
    <row r="21" ht="16" customHeight="1" spans="1:411" x14ac:dyDescent="0.25">
      <c r="A21" s="64"/>
      <c r="B21" s="69"/>
      <c r="C21" s="57">
        <f>I15*D21</f>
        <v>1820</v>
      </c>
      <c r="D21" s="57">
        <v>130</v>
      </c>
      <c r="E21" s="58" t="s">
        <v>46</v>
      </c>
      <c r="F21" s="38"/>
      <c r="G21" s="38"/>
      <c r="H21" s="38"/>
      <c r="I21" s="38"/>
      <c r="J21" s="39"/>
      <c r="K21" s="59">
        <v>0</v>
      </c>
      <c r="L21" s="60">
        <v>0</v>
      </c>
      <c r="M21" s="60">
        <v>0</v>
      </c>
      <c r="N21" s="60">
        <v>0</v>
      </c>
      <c r="O21" s="60">
        <v>0</v>
      </c>
      <c r="P21" s="61">
        <v>0</v>
      </c>
      <c r="Q21" s="61">
        <v>0</v>
      </c>
      <c r="R21" s="60">
        <v>0</v>
      </c>
      <c r="S21" s="60">
        <v>0</v>
      </c>
      <c r="T21" s="60">
        <v>0</v>
      </c>
      <c r="U21" s="60">
        <v>1</v>
      </c>
      <c r="V21" s="60">
        <v>1</v>
      </c>
      <c r="W21" s="61">
        <v>1</v>
      </c>
      <c r="X21" s="61">
        <v>1</v>
      </c>
      <c r="Y21" s="60">
        <v>1</v>
      </c>
      <c r="Z21" s="60">
        <v>1</v>
      </c>
      <c r="AA21" s="60">
        <v>1</v>
      </c>
      <c r="AB21" s="60">
        <v>1</v>
      </c>
      <c r="AC21" s="60">
        <v>1</v>
      </c>
      <c r="AD21" s="61">
        <v>1</v>
      </c>
      <c r="AE21" s="61">
        <v>1</v>
      </c>
      <c r="AF21" s="60">
        <v>1</v>
      </c>
      <c r="AG21" s="60">
        <v>1</v>
      </c>
      <c r="AH21" s="60">
        <v>1</v>
      </c>
      <c r="AI21" s="60">
        <v>0</v>
      </c>
      <c r="AJ21" s="60">
        <v>0</v>
      </c>
      <c r="AK21" s="61">
        <v>0</v>
      </c>
      <c r="AL21" s="61">
        <v>0</v>
      </c>
      <c r="AM21" s="60">
        <v>0</v>
      </c>
      <c r="AN21" s="60">
        <v>0</v>
      </c>
      <c r="AO21" s="60">
        <v>0</v>
      </c>
      <c r="AP21" s="62">
        <v>0</v>
      </c>
      <c r="OU21" s="50" t="s">
        <v>69</v>
      </c>
    </row>
    <row r="22" ht="16" customHeight="1" spans="1:411" x14ac:dyDescent="0.25">
      <c r="A22" s="16" t="s">
        <v>58</v>
      </c>
      <c r="B22" s="17"/>
      <c r="C22" s="65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65">
        <f>SUM(J7,J15)</f>
        <v>58500.31999999999</v>
      </c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0"/>
      <c r="B4" s="70"/>
      <c r="C4" s="70"/>
      <c r="D4" s="70"/>
      <c r="E4" s="70"/>
      <c r="F4" s="70"/>
      <c r="G4" s="70"/>
    </row>
    <row r="5" ht="6" customHeight="1" spans="1:7" x14ac:dyDescent="0.25">
      <c r="A5" s="70"/>
      <c r="B5" s="70"/>
      <c r="C5" s="70"/>
      <c r="D5" s="70"/>
      <c r="E5" s="70"/>
      <c r="F5" s="70"/>
      <c r="G5" s="70"/>
    </row>
    <row r="6" ht="20" customHeight="1" spans="1:7" x14ac:dyDescent="0.25">
      <c r="A6" s="31" t="s">
        <v>70</v>
      </c>
      <c r="B6" s="31" t="s">
        <v>71</v>
      </c>
      <c r="C6" s="31" t="s">
        <v>72</v>
      </c>
      <c r="D6" s="31" t="s">
        <v>73</v>
      </c>
      <c r="E6" s="31" t="s">
        <v>74</v>
      </c>
      <c r="F6" s="31" t="s">
        <v>75</v>
      </c>
      <c r="G6" s="31" t="s">
        <v>76</v>
      </c>
    </row>
    <row r="7" ht="16" customHeight="1" spans="1:7" x14ac:dyDescent="0.25">
      <c r="A7" s="12" t="s">
        <v>77</v>
      </c>
      <c r="B7" s="6" t="s">
        <v>78</v>
      </c>
      <c r="C7" s="8">
        <v>5</v>
      </c>
      <c r="D7" s="8">
        <v>3</v>
      </c>
      <c r="E7" s="56">
        <v>4464</v>
      </c>
      <c r="F7" s="56">
        <v>0</v>
      </c>
      <c r="G7" s="56">
        <f>C7*D7*E7+F7</f>
        <v>66960</v>
      </c>
    </row>
    <row r="8" ht="16" customHeight="1" spans="1:7" x14ac:dyDescent="0.25">
      <c r="A8" s="71" t="s">
        <v>79</v>
      </c>
      <c r="B8" s="9" t="s">
        <v>78</v>
      </c>
      <c r="C8" s="11">
        <v>3</v>
      </c>
      <c r="D8" s="11">
        <v>2</v>
      </c>
      <c r="E8" s="51">
        <v>612</v>
      </c>
      <c r="F8" s="51">
        <v>0</v>
      </c>
      <c r="G8" s="51">
        <f>C8*D8*E8+F8</f>
        <v>3672</v>
      </c>
    </row>
    <row r="9" ht="16" customHeight="1" spans="1:7" x14ac:dyDescent="0.25">
      <c r="A9" s="12" t="s">
        <v>80</v>
      </c>
      <c r="B9" s="6" t="s">
        <v>78</v>
      </c>
      <c r="C9" s="8">
        <v>3</v>
      </c>
      <c r="D9" s="8">
        <v>2</v>
      </c>
      <c r="E9" s="56">
        <v>936</v>
      </c>
      <c r="F9" s="56">
        <v>0</v>
      </c>
      <c r="G9" s="56">
        <f>C9*D9*E9+F9</f>
        <v>5616</v>
      </c>
    </row>
    <row r="10" ht="16" customHeight="1" spans="1:7" x14ac:dyDescent="0.25">
      <c r="A10" s="71" t="s">
        <v>81</v>
      </c>
      <c r="B10" s="9" t="s">
        <v>82</v>
      </c>
      <c r="C10" s="11">
        <v>1</v>
      </c>
      <c r="D10" s="11">
        <v>32</v>
      </c>
      <c r="E10" s="51">
        <v>1160</v>
      </c>
      <c r="F10" s="51">
        <v>0</v>
      </c>
      <c r="G10" s="51">
        <f>C10*D10*E10+F10</f>
        <v>37120</v>
      </c>
    </row>
    <row r="11" ht="16" customHeight="1" spans="1:7" x14ac:dyDescent="0.25">
      <c r="A11" s="16" t="s">
        <v>58</v>
      </c>
      <c r="B11" s="17"/>
      <c r="C11" s="17"/>
      <c r="D11" s="17"/>
      <c r="E11" s="17"/>
      <c r="F11" s="17"/>
      <c r="G11" s="65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0"/>
      <c r="B4" s="70"/>
      <c r="C4" s="70"/>
      <c r="D4" s="70"/>
      <c r="E4" s="70"/>
    </row>
    <row r="5" ht="6" customHeight="1" spans="1:5" x14ac:dyDescent="0.25">
      <c r="A5" s="70"/>
      <c r="B5" s="70"/>
      <c r="C5" s="70"/>
      <c r="D5" s="70"/>
      <c r="E5" s="70"/>
    </row>
    <row r="6" ht="20" customHeight="1" spans="1:5" x14ac:dyDescent="0.25">
      <c r="A6" s="31" t="s">
        <v>83</v>
      </c>
      <c r="B6" s="31" t="s">
        <v>84</v>
      </c>
      <c r="C6" s="31" t="s">
        <v>85</v>
      </c>
      <c r="D6" s="31" t="s">
        <v>86</v>
      </c>
      <c r="E6" s="31" t="s">
        <v>76</v>
      </c>
    </row>
    <row r="7" ht="16" customHeight="1" spans="1:5" x14ac:dyDescent="0.25">
      <c r="A7" s="12" t="s">
        <v>87</v>
      </c>
      <c r="B7" s="8">
        <v>6</v>
      </c>
      <c r="C7" s="8">
        <v>1500</v>
      </c>
      <c r="D7" s="56">
        <v>0.76</v>
      </c>
      <c r="E7" s="56">
        <f>B7*C7*D7</f>
        <v>6840</v>
      </c>
    </row>
    <row r="8" ht="16" customHeight="1" spans="1:5" x14ac:dyDescent="0.25">
      <c r="A8" s="16" t="s">
        <v>58</v>
      </c>
      <c r="B8" s="17"/>
      <c r="C8" s="17"/>
      <c r="D8" s="17"/>
      <c r="E8" s="65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0"/>
      <c r="B4" s="70"/>
      <c r="C4" s="70"/>
      <c r="D4" s="70"/>
      <c r="E4" s="70"/>
    </row>
    <row r="5" ht="6" customHeight="1" spans="1:5" x14ac:dyDescent="0.25">
      <c r="A5" s="70"/>
      <c r="B5" s="70"/>
      <c r="C5" s="70"/>
      <c r="D5" s="70"/>
      <c r="E5" s="70"/>
    </row>
    <row r="6" ht="20" customHeight="1" spans="1:5" x14ac:dyDescent="0.25">
      <c r="A6" s="31" t="s">
        <v>70</v>
      </c>
      <c r="B6" s="31" t="s">
        <v>88</v>
      </c>
      <c r="C6" s="31" t="s">
        <v>72</v>
      </c>
      <c r="D6" s="31" t="s">
        <v>89</v>
      </c>
      <c r="E6" s="31" t="s">
        <v>76</v>
      </c>
    </row>
    <row r="7" ht="16" customHeight="1" spans="1:5" x14ac:dyDescent="0.25">
      <c r="A7" s="12" t="s">
        <v>90</v>
      </c>
      <c r="B7" s="6" t="s">
        <v>91</v>
      </c>
      <c r="C7" s="8">
        <v>3.5</v>
      </c>
      <c r="D7" s="56">
        <v>1000</v>
      </c>
      <c r="E7" s="56">
        <f>C7*D7</f>
        <v>3500</v>
      </c>
    </row>
    <row r="8" ht="16" customHeight="1" spans="1:5" x14ac:dyDescent="0.25">
      <c r="A8" s="71" t="s">
        <v>92</v>
      </c>
      <c r="B8" s="9" t="s">
        <v>93</v>
      </c>
      <c r="C8" s="11">
        <v>1</v>
      </c>
      <c r="D8" s="51">
        <v>1200</v>
      </c>
      <c r="E8" s="51">
        <f>C8*D8</f>
        <v>1200</v>
      </c>
    </row>
    <row r="9" ht="16" customHeight="1" spans="1:5" x14ac:dyDescent="0.25">
      <c r="A9" s="12" t="s">
        <v>94</v>
      </c>
      <c r="B9" s="6" t="s">
        <v>95</v>
      </c>
      <c r="C9" s="8">
        <v>1</v>
      </c>
      <c r="D9" s="56">
        <v>6000</v>
      </c>
      <c r="E9" s="56">
        <f>C9*D9</f>
        <v>6000</v>
      </c>
    </row>
    <row r="10" ht="16" customHeight="1" spans="1:5" x14ac:dyDescent="0.25">
      <c r="A10" s="16" t="s">
        <v>58</v>
      </c>
      <c r="B10" s="17"/>
      <c r="C10" s="17"/>
      <c r="D10" s="17"/>
      <c r="E10" s="65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0"/>
      <c r="B4" s="70"/>
      <c r="C4" s="70"/>
      <c r="D4" s="70"/>
      <c r="E4" s="70"/>
      <c r="F4" s="70"/>
    </row>
    <row r="5" ht="6" customHeight="1" spans="1:6" x14ac:dyDescent="0.25">
      <c r="A5" s="70"/>
      <c r="B5" s="70"/>
      <c r="C5" s="70"/>
      <c r="D5" s="70"/>
      <c r="E5" s="70"/>
      <c r="F5" s="70"/>
    </row>
    <row r="6" ht="20" customHeight="1" spans="1:6" x14ac:dyDescent="0.25">
      <c r="A6" s="31" t="s">
        <v>96</v>
      </c>
      <c r="B6" s="31" t="s">
        <v>97</v>
      </c>
      <c r="C6" s="31" t="s">
        <v>98</v>
      </c>
      <c r="D6" s="31" t="s">
        <v>99</v>
      </c>
      <c r="E6" s="31" t="s">
        <v>100</v>
      </c>
      <c r="F6" s="31" t="s">
        <v>101</v>
      </c>
    </row>
    <row r="7" ht="16" customHeight="1" spans="1:6" x14ac:dyDescent="0.25">
      <c r="A7" s="12" t="s">
        <v>39</v>
      </c>
      <c r="B7" s="56">
        <v>57.9</v>
      </c>
      <c r="C7" s="56">
        <v>111.67</v>
      </c>
      <c r="D7" s="56">
        <v>156.21</v>
      </c>
      <c r="E7" s="56">
        <v>200.75</v>
      </c>
      <c r="F7" s="56">
        <v>140</v>
      </c>
    </row>
    <row r="8" ht="16" customHeight="1" spans="1:6" x14ac:dyDescent="0.25">
      <c r="A8" s="71" t="s">
        <v>49</v>
      </c>
      <c r="B8" s="51">
        <v>64</v>
      </c>
      <c r="C8" s="51">
        <v>105.76</v>
      </c>
      <c r="D8" s="51">
        <v>143.77</v>
      </c>
      <c r="E8" s="51">
        <v>181.79</v>
      </c>
      <c r="F8" s="51">
        <v>140</v>
      </c>
    </row>
    <row r="9" ht="16" customHeight="1" spans="1:6" x14ac:dyDescent="0.25">
      <c r="A9" s="12" t="s">
        <v>52</v>
      </c>
      <c r="B9" s="56">
        <v>52.5</v>
      </c>
      <c r="C9" s="56">
        <v>91.02</v>
      </c>
      <c r="D9" s="56">
        <v>122.2</v>
      </c>
      <c r="E9" s="56">
        <v>153.39</v>
      </c>
      <c r="F9" s="56">
        <v>140</v>
      </c>
    </row>
    <row r="10" ht="16" customHeight="1" spans="1:6" x14ac:dyDescent="0.25">
      <c r="A10" s="71" t="s">
        <v>55</v>
      </c>
      <c r="B10" s="51">
        <v>58.84</v>
      </c>
      <c r="C10" s="51">
        <v>111.22</v>
      </c>
      <c r="D10" s="51">
        <v>156.31</v>
      </c>
      <c r="E10" s="51">
        <v>201.4</v>
      </c>
      <c r="F10" s="51">
        <v>140</v>
      </c>
    </row>
    <row r="11" ht="16" customHeight="1" spans="1:6" x14ac:dyDescent="0.25">
      <c r="A11" s="12" t="s">
        <v>59</v>
      </c>
      <c r="B11" s="56">
        <v>53.93</v>
      </c>
      <c r="C11" s="56">
        <v>105.28</v>
      </c>
      <c r="D11" s="56">
        <v>147.5</v>
      </c>
      <c r="E11" s="56">
        <v>189.72</v>
      </c>
      <c r="F11" s="56">
        <v>130</v>
      </c>
    </row>
    <row r="12" ht="16" customHeight="1" spans="1:6" x14ac:dyDescent="0.25">
      <c r="A12" s="71" t="s">
        <v>62</v>
      </c>
      <c r="B12" s="51">
        <v>49.03</v>
      </c>
      <c r="C12" s="51">
        <v>99.33</v>
      </c>
      <c r="D12" s="51">
        <v>138.69</v>
      </c>
      <c r="E12" s="51">
        <v>178.05</v>
      </c>
      <c r="F12" s="51">
        <v>130</v>
      </c>
    </row>
    <row r="13" ht="16" customHeight="1" spans="1:6" x14ac:dyDescent="0.25">
      <c r="A13" s="12" t="s">
        <v>68</v>
      </c>
      <c r="B13" s="56">
        <v>45.6</v>
      </c>
      <c r="C13" s="56">
        <v>108.38</v>
      </c>
      <c r="D13" s="56">
        <v>152.78</v>
      </c>
      <c r="E13" s="56">
        <v>197.19</v>
      </c>
      <c r="F13" s="56">
        <v>130</v>
      </c>
    </row>
    <row r="14" ht="16" customHeight="1" spans="1:6" x14ac:dyDescent="0.25">
      <c r="A14" s="72"/>
      <c r="B14" s="15"/>
      <c r="C14" s="15"/>
      <c r="D14" s="15"/>
      <c r="E14" s="15"/>
      <c r="F14" s="15"/>
    </row>
    <row r="15" ht="16" customHeight="1" spans="1:6" x14ac:dyDescent="0.25">
      <c r="A15" s="73" t="s">
        <v>102</v>
      </c>
      <c r="B15" s="73"/>
      <c r="C15" s="73"/>
      <c r="D15" s="73"/>
      <c r="E15" s="73"/>
      <c r="F15" s="73"/>
    </row>
    <row r="16" ht="16" customHeight="1" spans="1:6" x14ac:dyDescent="0.25">
      <c r="A16" s="31" t="s">
        <v>70</v>
      </c>
      <c r="B16" s="31" t="s">
        <v>103</v>
      </c>
      <c r="C16" s="31" t="s">
        <v>104</v>
      </c>
      <c r="D16" s="31" t="s">
        <v>105</v>
      </c>
      <c r="E16" s="31" t="s">
        <v>106</v>
      </c>
      <c r="F16" s="31" t="s">
        <v>107</v>
      </c>
    </row>
    <row r="17" ht="16" customHeight="1" spans="1:6" x14ac:dyDescent="0.25">
      <c r="A17" s="12" t="s">
        <v>77</v>
      </c>
      <c r="B17" s="6" t="s">
        <v>108</v>
      </c>
      <c r="C17" s="56">
        <v>496</v>
      </c>
      <c r="D17" s="56">
        <v>1488</v>
      </c>
      <c r="E17" s="56">
        <v>4464</v>
      </c>
      <c r="F17" s="74"/>
    </row>
    <row r="18" ht="16" customHeight="1" spans="1:6" x14ac:dyDescent="0.25">
      <c r="A18" s="71" t="s">
        <v>79</v>
      </c>
      <c r="B18" s="9" t="s">
        <v>108</v>
      </c>
      <c r="C18" s="51">
        <v>68</v>
      </c>
      <c r="D18" s="51">
        <v>204</v>
      </c>
      <c r="E18" s="51">
        <v>612</v>
      </c>
      <c r="F18" s="20"/>
    </row>
    <row r="19" ht="16" customHeight="1" spans="1:6" x14ac:dyDescent="0.25">
      <c r="A19" s="12" t="s">
        <v>80</v>
      </c>
      <c r="B19" s="6" t="s">
        <v>108</v>
      </c>
      <c r="C19" s="56">
        <v>104</v>
      </c>
      <c r="D19" s="56">
        <v>312</v>
      </c>
      <c r="E19" s="56">
        <v>936</v>
      </c>
      <c r="F19" s="74"/>
    </row>
    <row r="20" ht="16" customHeight="1" spans="1:6" x14ac:dyDescent="0.25">
      <c r="A20" s="71" t="s">
        <v>81</v>
      </c>
      <c r="B20" s="9" t="s">
        <v>109</v>
      </c>
      <c r="C20" s="51">
        <v>1160</v>
      </c>
      <c r="D20" s="51">
        <v>3480</v>
      </c>
      <c r="E20" s="51">
        <v>10440</v>
      </c>
      <c r="F20" s="20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2026-09-04T23:23:57Z</dcterms:created>
  <dcterms:modified xsi:type="dcterms:W3CDTF">2026-09-04T23:23:57Z</dcterms:modified>
</cp:coreProperties>
</file>