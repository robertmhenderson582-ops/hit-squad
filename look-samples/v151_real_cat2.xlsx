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<sst xmlns="http://schemas.openxmlformats.org/spreadsheetml/2006/main" count="362" uniqueCount="92">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</sst>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29</v>
      </c>
      <c r="D7" s="31">
        <f>K7</f>
        <v>35365.28</v>
      </c>
      <c r="E7" s="32"/>
      <c r="F7" s="32"/>
      <c r="G7" s="29">
        <f>B10</f>
        <v>212</v>
      </c>
      <c r="H7" s="29">
        <f>B11</f>
        <v>44</v>
      </c>
      <c r="I7" s="29">
        <f>B12</f>
        <v>24</v>
      </c>
      <c r="J7" s="29">
        <f>B13</f>
        <v>22</v>
      </c>
      <c r="K7" s="33">
        <f>D10+D11+D12</f>
        <v>35365.28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30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1</v>
      </c>
      <c r="Y8" s="46">
        <v>1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1</v>
      </c>
      <c r="AF8" s="46">
        <v>1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30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30</v>
      </c>
    </row>
    <row r="10" spans="1:412" x14ac:dyDescent="0.25">
      <c r="A10" s="50"/>
      <c r="B10" s="51">
        <f>SUM(L10:AQ10)</f>
        <v>212</v>
      </c>
      <c r="C10" s="52"/>
      <c r="D10" s="53">
        <f>B10*E10</f>
        <v>23674.04</v>
      </c>
      <c r="E10" s="53">
        <f>'Rate Tables'!C7</f>
        <v>111.67</v>
      </c>
      <c r="F10" s="54" t="s">
        <v>34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10</v>
      </c>
      <c r="W10" s="58">
        <v>10</v>
      </c>
      <c r="X10" s="59">
        <v>10</v>
      </c>
      <c r="Y10" s="59">
        <v>0</v>
      </c>
      <c r="Z10" s="58">
        <v>10</v>
      </c>
      <c r="AA10" s="58">
        <v>10</v>
      </c>
      <c r="AB10" s="58">
        <v>10</v>
      </c>
      <c r="AC10" s="58">
        <v>10</v>
      </c>
      <c r="AD10" s="58">
        <v>0</v>
      </c>
      <c r="AE10" s="59">
        <v>0</v>
      </c>
      <c r="AF10" s="59">
        <v>0</v>
      </c>
      <c r="AG10" s="58">
        <v>10</v>
      </c>
      <c r="AH10" s="58">
        <v>10</v>
      </c>
      <c r="AI10" s="58">
        <v>10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30</v>
      </c>
    </row>
    <row r="11" spans="1:412" x14ac:dyDescent="0.25">
      <c r="A11" s="61"/>
      <c r="B11" s="62">
        <f>SUM(L11:AQ11)</f>
        <v>44</v>
      </c>
      <c r="C11" s="63"/>
      <c r="D11" s="64">
        <f>B11*E11</f>
        <v>6873.240000000001</v>
      </c>
      <c r="E11" s="64">
        <f>'Rate Tables'!D7</f>
        <v>156.21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2</v>
      </c>
      <c r="W11" s="58">
        <v>2</v>
      </c>
      <c r="X11" s="59">
        <v>2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12</v>
      </c>
      <c r="AE11" s="59">
        <v>12</v>
      </c>
      <c r="AF11" s="59">
        <v>0</v>
      </c>
      <c r="AG11" s="58">
        <v>2</v>
      </c>
      <c r="AH11" s="58">
        <v>2</v>
      </c>
      <c r="AI11" s="58">
        <v>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30</v>
      </c>
    </row>
    <row r="12" spans="1:412" x14ac:dyDescent="0.25">
      <c r="A12" s="50"/>
      <c r="B12" s="51">
        <f>SUM(L12:AQ12)</f>
        <v>24</v>
      </c>
      <c r="C12" s="52"/>
      <c r="D12" s="53">
        <f>B12*E12</f>
        <v>4818</v>
      </c>
      <c r="E12" s="53">
        <f>'Rate Tables'!E7</f>
        <v>200.75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30</v>
      </c>
    </row>
    <row r="13" spans="1:412" x14ac:dyDescent="0.25">
      <c r="A13" s="67"/>
      <c r="B13" s="68">
        <f>SUM(L13:AQ13)</f>
        <v>22</v>
      </c>
      <c r="C13" s="69"/>
      <c r="D13" s="70">
        <f>B13*E13</f>
        <v>3080</v>
      </c>
      <c r="E13" s="70">
        <v>140</v>
      </c>
      <c r="F13" s="71" t="s">
        <v>37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1</v>
      </c>
      <c r="Y13" s="76">
        <v>1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1</v>
      </c>
      <c r="AF13" s="76">
        <v>1</v>
      </c>
      <c r="AG13" s="75">
        <v>1</v>
      </c>
      <c r="AH13" s="75">
        <v>1</v>
      </c>
      <c r="AI13" s="75">
        <v>1</v>
      </c>
      <c r="AJ13" s="75">
        <v>0</v>
      </c>
      <c r="AK13" s="75">
        <v>0</v>
      </c>
      <c r="AL13" s="76">
        <v>0</v>
      </c>
      <c r="AM13" s="76">
        <v>0</v>
      </c>
      <c r="AN13" s="75">
        <v>0</v>
      </c>
      <c r="AO13" s="75">
        <v>0</v>
      </c>
      <c r="AP13" s="75">
        <v>0</v>
      </c>
      <c r="AQ13" s="77">
        <v>0</v>
      </c>
      <c r="OV13" s="48" t="s">
        <v>30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232</v>
      </c>
      <c r="C15" s="30" t="s">
        <v>29</v>
      </c>
      <c r="D15" s="31">
        <f>K15</f>
        <v>30005.120000000003</v>
      </c>
      <c r="E15" s="32"/>
      <c r="F15" s="32"/>
      <c r="G15" s="29">
        <f>B18</f>
        <v>164</v>
      </c>
      <c r="H15" s="29">
        <f>B19</f>
        <v>44</v>
      </c>
      <c r="I15" s="29">
        <f>B20</f>
        <v>24</v>
      </c>
      <c r="J15" s="29">
        <f>B21</f>
        <v>22</v>
      </c>
      <c r="K15" s="33">
        <f>D18+D19+D20</f>
        <v>30005.120000000003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39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1</v>
      </c>
      <c r="M16" s="45">
        <v>1</v>
      </c>
      <c r="N16" s="45">
        <v>1</v>
      </c>
      <c r="O16" s="45">
        <v>1</v>
      </c>
      <c r="P16" s="45">
        <v>1</v>
      </c>
      <c r="Q16" s="46">
        <v>0</v>
      </c>
      <c r="R16" s="46">
        <v>0</v>
      </c>
      <c r="S16" s="45">
        <v>1</v>
      </c>
      <c r="T16" s="45">
        <v>1</v>
      </c>
      <c r="U16" s="45">
        <v>1</v>
      </c>
      <c r="V16" s="45">
        <v>1</v>
      </c>
      <c r="W16" s="45">
        <v>1</v>
      </c>
      <c r="X16" s="46">
        <v>1</v>
      </c>
      <c r="Y16" s="46">
        <v>1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1</v>
      </c>
      <c r="AF16" s="46">
        <v>1</v>
      </c>
      <c r="AG16" s="45">
        <v>1</v>
      </c>
      <c r="AH16" s="45">
        <v>1</v>
      </c>
      <c r="AI16" s="45">
        <v>1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39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8</v>
      </c>
      <c r="M17" s="45">
        <v>8</v>
      </c>
      <c r="N17" s="45">
        <v>8</v>
      </c>
      <c r="O17" s="45">
        <v>8</v>
      </c>
      <c r="P17" s="45">
        <v>8</v>
      </c>
      <c r="Q17" s="46">
        <v>0</v>
      </c>
      <c r="R17" s="46">
        <v>0</v>
      </c>
      <c r="S17" s="45">
        <v>8</v>
      </c>
      <c r="T17" s="45">
        <v>8</v>
      </c>
      <c r="U17" s="45">
        <v>8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39</v>
      </c>
    </row>
    <row r="18" spans="1:412" x14ac:dyDescent="0.25">
      <c r="A18" s="50"/>
      <c r="B18" s="51">
        <f>SUM(L18:AQ18)</f>
        <v>164</v>
      </c>
      <c r="C18" s="52"/>
      <c r="D18" s="53">
        <f>B18*E18</f>
        <v>18313.88</v>
      </c>
      <c r="E18" s="53">
        <f>'Rate Tables'!C7</f>
        <v>111.67</v>
      </c>
      <c r="F18" s="54" t="s">
        <v>34</v>
      </c>
      <c r="G18" s="55"/>
      <c r="H18" s="55"/>
      <c r="I18" s="55"/>
      <c r="J18" s="55"/>
      <c r="K18" s="56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10</v>
      </c>
      <c r="W18" s="58">
        <v>10</v>
      </c>
      <c r="X18" s="59">
        <v>10</v>
      </c>
      <c r="Y18" s="59">
        <v>0</v>
      </c>
      <c r="Z18" s="58">
        <v>10</v>
      </c>
      <c r="AA18" s="58">
        <v>10</v>
      </c>
      <c r="AB18" s="58">
        <v>10</v>
      </c>
      <c r="AC18" s="58">
        <v>10</v>
      </c>
      <c r="AD18" s="58">
        <v>0</v>
      </c>
      <c r="AE18" s="59">
        <v>0</v>
      </c>
      <c r="AF18" s="59">
        <v>0</v>
      </c>
      <c r="AG18" s="58">
        <v>10</v>
      </c>
      <c r="AH18" s="58">
        <v>10</v>
      </c>
      <c r="AI18" s="58">
        <v>10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39</v>
      </c>
    </row>
    <row r="19" spans="1:412" x14ac:dyDescent="0.25">
      <c r="A19" s="61"/>
      <c r="B19" s="62">
        <f>SUM(L19:AQ19)</f>
        <v>44</v>
      </c>
      <c r="C19" s="63"/>
      <c r="D19" s="64">
        <f>B19*E19</f>
        <v>6873.240000000001</v>
      </c>
      <c r="E19" s="64">
        <f>'Rate Tables'!D7</f>
        <v>156.21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2</v>
      </c>
      <c r="W19" s="58">
        <v>2</v>
      </c>
      <c r="X19" s="59">
        <v>2</v>
      </c>
      <c r="Y19" s="59">
        <v>0</v>
      </c>
      <c r="Z19" s="58">
        <v>2</v>
      </c>
      <c r="AA19" s="58">
        <v>2</v>
      </c>
      <c r="AB19" s="58">
        <v>2</v>
      </c>
      <c r="AC19" s="58">
        <v>2</v>
      </c>
      <c r="AD19" s="58">
        <v>12</v>
      </c>
      <c r="AE19" s="59">
        <v>12</v>
      </c>
      <c r="AF19" s="59">
        <v>0</v>
      </c>
      <c r="AG19" s="58">
        <v>2</v>
      </c>
      <c r="AH19" s="58">
        <v>2</v>
      </c>
      <c r="AI19" s="58">
        <v>2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39</v>
      </c>
    </row>
    <row r="20" spans="1:412" x14ac:dyDescent="0.25">
      <c r="A20" s="50"/>
      <c r="B20" s="51">
        <f>SUM(L20:AQ20)</f>
        <v>24</v>
      </c>
      <c r="C20" s="52"/>
      <c r="D20" s="53">
        <f>B20*E20</f>
        <v>4818</v>
      </c>
      <c r="E20" s="53">
        <f>'Rate Tables'!E7</f>
        <v>200.75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39</v>
      </c>
    </row>
    <row r="21" spans="1:412" x14ac:dyDescent="0.25">
      <c r="A21" s="67"/>
      <c r="B21" s="68">
        <f>SUM(L21:AQ21)</f>
        <v>22</v>
      </c>
      <c r="C21" s="69"/>
      <c r="D21" s="70">
        <f>B21*E21</f>
        <v>3080</v>
      </c>
      <c r="E21" s="70">
        <v>140</v>
      </c>
      <c r="F21" s="71" t="s">
        <v>37</v>
      </c>
      <c r="G21" s="72"/>
      <c r="H21" s="72"/>
      <c r="I21" s="72"/>
      <c r="J21" s="72"/>
      <c r="K21" s="73"/>
      <c r="L21" s="74">
        <v>1</v>
      </c>
      <c r="M21" s="75">
        <v>1</v>
      </c>
      <c r="N21" s="75">
        <v>1</v>
      </c>
      <c r="O21" s="75">
        <v>1</v>
      </c>
      <c r="P21" s="75">
        <v>1</v>
      </c>
      <c r="Q21" s="76">
        <v>0</v>
      </c>
      <c r="R21" s="76">
        <v>0</v>
      </c>
      <c r="S21" s="75">
        <v>1</v>
      </c>
      <c r="T21" s="75">
        <v>1</v>
      </c>
      <c r="U21" s="75">
        <v>1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39</v>
      </c>
    </row>
    <row r="22" ht="8" customHeight="1" spans="1:43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</row>
    <row r="23" spans="1:412" x14ac:dyDescent="0.25">
      <c r="A23" s="28" t="s">
        <v>28</v>
      </c>
      <c r="B23" s="29">
        <f>G23+H23+I23</f>
        <v>280</v>
      </c>
      <c r="C23" s="30" t="s">
        <v>40</v>
      </c>
      <c r="D23" s="31">
        <f>K23</f>
        <v>33109.96000000001</v>
      </c>
      <c r="E23" s="32"/>
      <c r="F23" s="32"/>
      <c r="G23" s="29">
        <f>B26</f>
        <v>212</v>
      </c>
      <c r="H23" s="29">
        <f>B27</f>
        <v>44</v>
      </c>
      <c r="I23" s="29">
        <f>B28</f>
        <v>24</v>
      </c>
      <c r="J23" s="29">
        <f>B29</f>
        <v>22</v>
      </c>
      <c r="K23" s="33">
        <f>D26+D27+D28</f>
        <v>33109.96000000001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7"/>
      <c r="OV23" s="38" t="s">
        <v>41</v>
      </c>
    </row>
    <row r="24" spans="1:412" x14ac:dyDescent="0.25">
      <c r="A24" s="39"/>
      <c r="B24" s="40"/>
      <c r="C24" s="41"/>
      <c r="D24" s="40"/>
      <c r="E24" s="40"/>
      <c r="F24" s="42" t="s">
        <v>31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1</v>
      </c>
      <c r="Y24" s="46">
        <v>1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1</v>
      </c>
      <c r="AF24" s="46">
        <v>1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7">
        <v>1</v>
      </c>
      <c r="OV24" s="48" t="s">
        <v>41</v>
      </c>
    </row>
    <row r="25" ht="28" customHeight="1" spans="1:412" x14ac:dyDescent="0.25">
      <c r="A25" s="49" t="s">
        <v>32</v>
      </c>
      <c r="B25" s="40"/>
      <c r="C25" s="41"/>
      <c r="D25" s="40"/>
      <c r="E25" s="40"/>
      <c r="F25" s="42" t="s">
        <v>33</v>
      </c>
      <c r="G25" s="40"/>
      <c r="H25" s="40"/>
      <c r="I25" s="40"/>
      <c r="J25" s="40"/>
      <c r="K25" s="43"/>
      <c r="L25" s="44">
        <v>8</v>
      </c>
      <c r="M25" s="45">
        <v>8</v>
      </c>
      <c r="N25" s="45">
        <v>8</v>
      </c>
      <c r="O25" s="45">
        <v>8</v>
      </c>
      <c r="P25" s="45">
        <v>8</v>
      </c>
      <c r="Q25" s="46">
        <v>0</v>
      </c>
      <c r="R25" s="46">
        <v>0</v>
      </c>
      <c r="S25" s="45">
        <v>8</v>
      </c>
      <c r="T25" s="45">
        <v>8</v>
      </c>
      <c r="U25" s="45">
        <v>8</v>
      </c>
      <c r="V25" s="45">
        <v>12</v>
      </c>
      <c r="W25" s="45">
        <v>12</v>
      </c>
      <c r="X25" s="46">
        <v>12</v>
      </c>
      <c r="Y25" s="46">
        <v>12</v>
      </c>
      <c r="Z25" s="45">
        <v>12</v>
      </c>
      <c r="AA25" s="45">
        <v>12</v>
      </c>
      <c r="AB25" s="45">
        <v>12</v>
      </c>
      <c r="AC25" s="45">
        <v>12</v>
      </c>
      <c r="AD25" s="45">
        <v>12</v>
      </c>
      <c r="AE25" s="46">
        <v>12</v>
      </c>
      <c r="AF25" s="46">
        <v>12</v>
      </c>
      <c r="AG25" s="45">
        <v>12</v>
      </c>
      <c r="AH25" s="45">
        <v>12</v>
      </c>
      <c r="AI25" s="45">
        <v>12</v>
      </c>
      <c r="AJ25" s="45">
        <v>8</v>
      </c>
      <c r="AK25" s="45">
        <v>8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7">
        <v>8</v>
      </c>
      <c r="OV25" s="48" t="s">
        <v>41</v>
      </c>
    </row>
    <row r="26" spans="1:412" x14ac:dyDescent="0.25">
      <c r="A26" s="50"/>
      <c r="B26" s="51">
        <f>SUM(L26:AQ26)</f>
        <v>212</v>
      </c>
      <c r="C26" s="52"/>
      <c r="D26" s="53">
        <f>B26*E26</f>
        <v>22421.120000000003</v>
      </c>
      <c r="E26" s="53">
        <f>'Rate Tables'!C8</f>
        <v>105.76</v>
      </c>
      <c r="F26" s="54" t="s">
        <v>34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10</v>
      </c>
      <c r="W26" s="58">
        <v>10</v>
      </c>
      <c r="X26" s="59">
        <v>10</v>
      </c>
      <c r="Y26" s="59">
        <v>0</v>
      </c>
      <c r="Z26" s="58">
        <v>10</v>
      </c>
      <c r="AA26" s="58">
        <v>10</v>
      </c>
      <c r="AB26" s="58">
        <v>10</v>
      </c>
      <c r="AC26" s="58">
        <v>10</v>
      </c>
      <c r="AD26" s="58">
        <v>0</v>
      </c>
      <c r="AE26" s="59">
        <v>0</v>
      </c>
      <c r="AF26" s="59">
        <v>0</v>
      </c>
      <c r="AG26" s="58">
        <v>10</v>
      </c>
      <c r="AH26" s="58">
        <v>10</v>
      </c>
      <c r="AI26" s="58">
        <v>10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60">
        <v>8</v>
      </c>
      <c r="OV26" s="38" t="s">
        <v>41</v>
      </c>
    </row>
    <row r="27" spans="1:412" x14ac:dyDescent="0.25">
      <c r="A27" s="61"/>
      <c r="B27" s="62">
        <f>SUM(L27:AQ27)</f>
        <v>44</v>
      </c>
      <c r="C27" s="63"/>
      <c r="D27" s="64">
        <f>B27*E27</f>
        <v>6325.88</v>
      </c>
      <c r="E27" s="64">
        <f>'Rate Tables'!D8</f>
        <v>143.77</v>
      </c>
      <c r="F27" s="54" t="s">
        <v>35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2</v>
      </c>
      <c r="W27" s="58">
        <v>2</v>
      </c>
      <c r="X27" s="59">
        <v>2</v>
      </c>
      <c r="Y27" s="59">
        <v>0</v>
      </c>
      <c r="Z27" s="58">
        <v>2</v>
      </c>
      <c r="AA27" s="58">
        <v>2</v>
      </c>
      <c r="AB27" s="58">
        <v>2</v>
      </c>
      <c r="AC27" s="58">
        <v>2</v>
      </c>
      <c r="AD27" s="58">
        <v>12</v>
      </c>
      <c r="AE27" s="59">
        <v>12</v>
      </c>
      <c r="AF27" s="59">
        <v>0</v>
      </c>
      <c r="AG27" s="58">
        <v>2</v>
      </c>
      <c r="AH27" s="58">
        <v>2</v>
      </c>
      <c r="AI27" s="58">
        <v>2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60">
        <v>0</v>
      </c>
      <c r="OV27" s="38" t="s">
        <v>41</v>
      </c>
    </row>
    <row r="28" spans="1:412" x14ac:dyDescent="0.25">
      <c r="A28" s="50"/>
      <c r="B28" s="51">
        <f>SUM(L28:AQ28)</f>
        <v>24</v>
      </c>
      <c r="C28" s="52"/>
      <c r="D28" s="53">
        <f>B28*E28</f>
        <v>4362.96</v>
      </c>
      <c r="E28" s="53">
        <f>'Rate Tables'!E8</f>
        <v>181.79</v>
      </c>
      <c r="F28" s="54" t="s">
        <v>36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12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12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60">
        <v>0</v>
      </c>
      <c r="OV28" s="38" t="s">
        <v>41</v>
      </c>
    </row>
    <row r="29" spans="1:412" x14ac:dyDescent="0.25">
      <c r="A29" s="67"/>
      <c r="B29" s="68">
        <f>SUM(L29:AQ29)</f>
        <v>22</v>
      </c>
      <c r="C29" s="69"/>
      <c r="D29" s="70">
        <f>B29*E29</f>
        <v>3080</v>
      </c>
      <c r="E29" s="70">
        <v>140</v>
      </c>
      <c r="F29" s="71" t="s">
        <v>37</v>
      </c>
      <c r="G29" s="72"/>
      <c r="H29" s="72"/>
      <c r="I29" s="72"/>
      <c r="J29" s="72"/>
      <c r="K29" s="73"/>
      <c r="L29" s="74">
        <v>1</v>
      </c>
      <c r="M29" s="75">
        <v>1</v>
      </c>
      <c r="N29" s="75">
        <v>1</v>
      </c>
      <c r="O29" s="75">
        <v>1</v>
      </c>
      <c r="P29" s="75">
        <v>1</v>
      </c>
      <c r="Q29" s="76">
        <v>0</v>
      </c>
      <c r="R29" s="76">
        <v>0</v>
      </c>
      <c r="S29" s="75">
        <v>1</v>
      </c>
      <c r="T29" s="75">
        <v>1</v>
      </c>
      <c r="U29" s="75">
        <v>1</v>
      </c>
      <c r="V29" s="75">
        <v>1</v>
      </c>
      <c r="W29" s="75">
        <v>1</v>
      </c>
      <c r="X29" s="76">
        <v>1</v>
      </c>
      <c r="Y29" s="76">
        <v>1</v>
      </c>
      <c r="Z29" s="75">
        <v>1</v>
      </c>
      <c r="AA29" s="75">
        <v>1</v>
      </c>
      <c r="AB29" s="75">
        <v>1</v>
      </c>
      <c r="AC29" s="75">
        <v>1</v>
      </c>
      <c r="AD29" s="75">
        <v>1</v>
      </c>
      <c r="AE29" s="76">
        <v>1</v>
      </c>
      <c r="AF29" s="76">
        <v>1</v>
      </c>
      <c r="AG29" s="75">
        <v>1</v>
      </c>
      <c r="AH29" s="75">
        <v>1</v>
      </c>
      <c r="AI29" s="75">
        <v>1</v>
      </c>
      <c r="AJ29" s="75">
        <v>0</v>
      </c>
      <c r="AK29" s="75">
        <v>0</v>
      </c>
      <c r="AL29" s="76">
        <v>0</v>
      </c>
      <c r="AM29" s="76">
        <v>0</v>
      </c>
      <c r="AN29" s="75">
        <v>0</v>
      </c>
      <c r="AO29" s="75">
        <v>0</v>
      </c>
      <c r="AP29" s="75">
        <v>0</v>
      </c>
      <c r="AQ29" s="77">
        <v>0</v>
      </c>
      <c r="OV29" s="48" t="s">
        <v>41</v>
      </c>
    </row>
    <row r="30" ht="8" customHeight="1" spans="1:43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</row>
    <row r="31" spans="1:412" x14ac:dyDescent="0.25">
      <c r="A31" s="80" t="s">
        <v>38</v>
      </c>
      <c r="B31" s="29">
        <f>G31+H31+I31</f>
        <v>232</v>
      </c>
      <c r="C31" s="30" t="s">
        <v>40</v>
      </c>
      <c r="D31" s="31">
        <f>K31</f>
        <v>28033.48</v>
      </c>
      <c r="E31" s="32"/>
      <c r="F31" s="32"/>
      <c r="G31" s="29">
        <f>B34</f>
        <v>164</v>
      </c>
      <c r="H31" s="29">
        <f>B35</f>
        <v>44</v>
      </c>
      <c r="I31" s="29">
        <f>B36</f>
        <v>24</v>
      </c>
      <c r="J31" s="29">
        <f>B37</f>
        <v>22</v>
      </c>
      <c r="K31" s="33">
        <f>D34+D35+D36</f>
        <v>28033.48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7"/>
      <c r="OV31" s="38" t="s">
        <v>42</v>
      </c>
    </row>
    <row r="32" spans="1:412" x14ac:dyDescent="0.25">
      <c r="A32" s="39"/>
      <c r="B32" s="40"/>
      <c r="C32" s="41"/>
      <c r="D32" s="40"/>
      <c r="E32" s="40"/>
      <c r="F32" s="42" t="s">
        <v>31</v>
      </c>
      <c r="G32" s="40"/>
      <c r="H32" s="40"/>
      <c r="I32" s="40"/>
      <c r="J32" s="40"/>
      <c r="K32" s="43"/>
      <c r="L32" s="44">
        <v>1</v>
      </c>
      <c r="M32" s="45">
        <v>1</v>
      </c>
      <c r="N32" s="45">
        <v>1</v>
      </c>
      <c r="O32" s="45">
        <v>1</v>
      </c>
      <c r="P32" s="45">
        <v>1</v>
      </c>
      <c r="Q32" s="46">
        <v>0</v>
      </c>
      <c r="R32" s="46">
        <v>0</v>
      </c>
      <c r="S32" s="45">
        <v>1</v>
      </c>
      <c r="T32" s="45">
        <v>1</v>
      </c>
      <c r="U32" s="45">
        <v>1</v>
      </c>
      <c r="V32" s="45">
        <v>1</v>
      </c>
      <c r="W32" s="45">
        <v>1</v>
      </c>
      <c r="X32" s="46">
        <v>1</v>
      </c>
      <c r="Y32" s="46">
        <v>1</v>
      </c>
      <c r="Z32" s="45">
        <v>1</v>
      </c>
      <c r="AA32" s="45">
        <v>1</v>
      </c>
      <c r="AB32" s="45">
        <v>1</v>
      </c>
      <c r="AC32" s="45">
        <v>1</v>
      </c>
      <c r="AD32" s="45">
        <v>1</v>
      </c>
      <c r="AE32" s="46">
        <v>1</v>
      </c>
      <c r="AF32" s="46">
        <v>1</v>
      </c>
      <c r="AG32" s="45">
        <v>1</v>
      </c>
      <c r="AH32" s="45">
        <v>1</v>
      </c>
      <c r="AI32" s="45">
        <v>1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7">
        <v>0</v>
      </c>
      <c r="OV32" s="48" t="s">
        <v>42</v>
      </c>
    </row>
    <row r="33" ht="28" customHeight="1" spans="1:412" x14ac:dyDescent="0.25">
      <c r="A33" s="49" t="s">
        <v>32</v>
      </c>
      <c r="B33" s="40"/>
      <c r="C33" s="41"/>
      <c r="D33" s="40"/>
      <c r="E33" s="40"/>
      <c r="F33" s="42" t="s">
        <v>33</v>
      </c>
      <c r="G33" s="40"/>
      <c r="H33" s="40"/>
      <c r="I33" s="40"/>
      <c r="J33" s="40"/>
      <c r="K33" s="43"/>
      <c r="L33" s="44">
        <v>8</v>
      </c>
      <c r="M33" s="45">
        <v>8</v>
      </c>
      <c r="N33" s="45">
        <v>8</v>
      </c>
      <c r="O33" s="45">
        <v>8</v>
      </c>
      <c r="P33" s="45">
        <v>8</v>
      </c>
      <c r="Q33" s="46">
        <v>0</v>
      </c>
      <c r="R33" s="46">
        <v>0</v>
      </c>
      <c r="S33" s="45">
        <v>8</v>
      </c>
      <c r="T33" s="45">
        <v>8</v>
      </c>
      <c r="U33" s="45">
        <v>8</v>
      </c>
      <c r="V33" s="45">
        <v>12</v>
      </c>
      <c r="W33" s="45">
        <v>12</v>
      </c>
      <c r="X33" s="46">
        <v>12</v>
      </c>
      <c r="Y33" s="46">
        <v>12</v>
      </c>
      <c r="Z33" s="45">
        <v>12</v>
      </c>
      <c r="AA33" s="45">
        <v>12</v>
      </c>
      <c r="AB33" s="45">
        <v>12</v>
      </c>
      <c r="AC33" s="45">
        <v>12</v>
      </c>
      <c r="AD33" s="45">
        <v>12</v>
      </c>
      <c r="AE33" s="46">
        <v>12</v>
      </c>
      <c r="AF33" s="46">
        <v>12</v>
      </c>
      <c r="AG33" s="45">
        <v>12</v>
      </c>
      <c r="AH33" s="45">
        <v>12</v>
      </c>
      <c r="AI33" s="45">
        <v>12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7">
        <v>0</v>
      </c>
      <c r="OV33" s="48" t="s">
        <v>42</v>
      </c>
    </row>
    <row r="34" spans="1:412" x14ac:dyDescent="0.25">
      <c r="A34" s="50"/>
      <c r="B34" s="51">
        <f>SUM(L34:AQ34)</f>
        <v>164</v>
      </c>
      <c r="C34" s="52"/>
      <c r="D34" s="53">
        <f>B34*E34</f>
        <v>17344.64</v>
      </c>
      <c r="E34" s="53">
        <f>'Rate Tables'!C8</f>
        <v>105.76</v>
      </c>
      <c r="F34" s="54" t="s">
        <v>34</v>
      </c>
      <c r="G34" s="55"/>
      <c r="H34" s="55"/>
      <c r="I34" s="55"/>
      <c r="J34" s="55"/>
      <c r="K34" s="56"/>
      <c r="L34" s="57">
        <v>8</v>
      </c>
      <c r="M34" s="58">
        <v>8</v>
      </c>
      <c r="N34" s="58">
        <v>8</v>
      </c>
      <c r="O34" s="58">
        <v>8</v>
      </c>
      <c r="P34" s="58">
        <v>8</v>
      </c>
      <c r="Q34" s="59">
        <v>0</v>
      </c>
      <c r="R34" s="59">
        <v>0</v>
      </c>
      <c r="S34" s="58">
        <v>8</v>
      </c>
      <c r="T34" s="58">
        <v>8</v>
      </c>
      <c r="U34" s="58">
        <v>8</v>
      </c>
      <c r="V34" s="58">
        <v>10</v>
      </c>
      <c r="W34" s="58">
        <v>10</v>
      </c>
      <c r="X34" s="59">
        <v>10</v>
      </c>
      <c r="Y34" s="59">
        <v>0</v>
      </c>
      <c r="Z34" s="58">
        <v>10</v>
      </c>
      <c r="AA34" s="58">
        <v>10</v>
      </c>
      <c r="AB34" s="58">
        <v>10</v>
      </c>
      <c r="AC34" s="58">
        <v>10</v>
      </c>
      <c r="AD34" s="58">
        <v>0</v>
      </c>
      <c r="AE34" s="59">
        <v>0</v>
      </c>
      <c r="AF34" s="59">
        <v>0</v>
      </c>
      <c r="AG34" s="58">
        <v>10</v>
      </c>
      <c r="AH34" s="58">
        <v>10</v>
      </c>
      <c r="AI34" s="58">
        <v>10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60">
        <v>0</v>
      </c>
      <c r="OV34" s="38" t="s">
        <v>42</v>
      </c>
    </row>
    <row r="35" spans="1:412" x14ac:dyDescent="0.25">
      <c r="A35" s="61"/>
      <c r="B35" s="62">
        <f>SUM(L35:AQ35)</f>
        <v>44</v>
      </c>
      <c r="C35" s="63"/>
      <c r="D35" s="64">
        <f>B35*E35</f>
        <v>6325.88</v>
      </c>
      <c r="E35" s="64">
        <f>'Rate Tables'!D8</f>
        <v>143.77</v>
      </c>
      <c r="F35" s="54" t="s">
        <v>35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2</v>
      </c>
      <c r="W35" s="58">
        <v>2</v>
      </c>
      <c r="X35" s="59">
        <v>2</v>
      </c>
      <c r="Y35" s="59">
        <v>0</v>
      </c>
      <c r="Z35" s="58">
        <v>2</v>
      </c>
      <c r="AA35" s="58">
        <v>2</v>
      </c>
      <c r="AB35" s="58">
        <v>2</v>
      </c>
      <c r="AC35" s="58">
        <v>2</v>
      </c>
      <c r="AD35" s="58">
        <v>12</v>
      </c>
      <c r="AE35" s="59">
        <v>12</v>
      </c>
      <c r="AF35" s="59">
        <v>0</v>
      </c>
      <c r="AG35" s="58">
        <v>2</v>
      </c>
      <c r="AH35" s="58">
        <v>2</v>
      </c>
      <c r="AI35" s="58">
        <v>2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60">
        <v>0</v>
      </c>
      <c r="OV35" s="38" t="s">
        <v>42</v>
      </c>
    </row>
    <row r="36" spans="1:412" x14ac:dyDescent="0.25">
      <c r="A36" s="50"/>
      <c r="B36" s="51">
        <f>SUM(L36:AQ36)</f>
        <v>24</v>
      </c>
      <c r="C36" s="52"/>
      <c r="D36" s="53">
        <f>B36*E36</f>
        <v>4362.96</v>
      </c>
      <c r="E36" s="53">
        <f>'Rate Tables'!E8</f>
        <v>181.79</v>
      </c>
      <c r="F36" s="54" t="s">
        <v>36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12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12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60">
        <v>0</v>
      </c>
      <c r="OV36" s="38" t="s">
        <v>42</v>
      </c>
    </row>
    <row r="37" spans="1:412" x14ac:dyDescent="0.25">
      <c r="A37" s="67"/>
      <c r="B37" s="68">
        <f>SUM(L37:AQ37)</f>
        <v>22</v>
      </c>
      <c r="C37" s="69"/>
      <c r="D37" s="70">
        <f>B37*E37</f>
        <v>3080</v>
      </c>
      <c r="E37" s="70">
        <v>140</v>
      </c>
      <c r="F37" s="71" t="s">
        <v>37</v>
      </c>
      <c r="G37" s="72"/>
      <c r="H37" s="72"/>
      <c r="I37" s="72"/>
      <c r="J37" s="72"/>
      <c r="K37" s="73"/>
      <c r="L37" s="74">
        <v>1</v>
      </c>
      <c r="M37" s="75">
        <v>1</v>
      </c>
      <c r="N37" s="75">
        <v>1</v>
      </c>
      <c r="O37" s="75">
        <v>1</v>
      </c>
      <c r="P37" s="75">
        <v>1</v>
      </c>
      <c r="Q37" s="76">
        <v>0</v>
      </c>
      <c r="R37" s="76">
        <v>0</v>
      </c>
      <c r="S37" s="75">
        <v>1</v>
      </c>
      <c r="T37" s="75">
        <v>1</v>
      </c>
      <c r="U37" s="75">
        <v>1</v>
      </c>
      <c r="V37" s="75">
        <v>1</v>
      </c>
      <c r="W37" s="75">
        <v>1</v>
      </c>
      <c r="X37" s="76">
        <v>1</v>
      </c>
      <c r="Y37" s="76">
        <v>1</v>
      </c>
      <c r="Z37" s="75">
        <v>1</v>
      </c>
      <c r="AA37" s="75">
        <v>1</v>
      </c>
      <c r="AB37" s="75">
        <v>1</v>
      </c>
      <c r="AC37" s="75">
        <v>1</v>
      </c>
      <c r="AD37" s="75">
        <v>1</v>
      </c>
      <c r="AE37" s="76">
        <v>1</v>
      </c>
      <c r="AF37" s="76">
        <v>1</v>
      </c>
      <c r="AG37" s="75">
        <v>1</v>
      </c>
      <c r="AH37" s="75">
        <v>1</v>
      </c>
      <c r="AI37" s="75">
        <v>1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7">
        <v>0</v>
      </c>
      <c r="OV37" s="48" t="s">
        <v>42</v>
      </c>
    </row>
    <row r="38" ht="8" customHeight="1" spans="1:43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</row>
    <row r="39" spans="1:412" x14ac:dyDescent="0.25">
      <c r="A39" s="28" t="s">
        <v>28</v>
      </c>
      <c r="B39" s="29">
        <f>G39+H39+I39</f>
        <v>280</v>
      </c>
      <c r="C39" s="30" t="s">
        <v>43</v>
      </c>
      <c r="D39" s="31">
        <f>K39</f>
        <v>28354.399999999998</v>
      </c>
      <c r="E39" s="32"/>
      <c r="F39" s="32"/>
      <c r="G39" s="29">
        <f>B42</f>
        <v>212</v>
      </c>
      <c r="H39" s="29">
        <f>B43</f>
        <v>44</v>
      </c>
      <c r="I39" s="29">
        <f>B44</f>
        <v>24</v>
      </c>
      <c r="J39" s="29">
        <f>B45</f>
        <v>22</v>
      </c>
      <c r="K39" s="33">
        <f>D42+D43+D44</f>
        <v>28354.399999999998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7"/>
      <c r="OV39" s="38" t="s">
        <v>44</v>
      </c>
    </row>
    <row r="40" spans="1:412" x14ac:dyDescent="0.25">
      <c r="A40" s="39"/>
      <c r="B40" s="40"/>
      <c r="C40" s="41"/>
      <c r="D40" s="40"/>
      <c r="E40" s="40"/>
      <c r="F40" s="42" t="s">
        <v>31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1</v>
      </c>
      <c r="Y40" s="46">
        <v>1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1</v>
      </c>
      <c r="AF40" s="46">
        <v>1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7">
        <v>1</v>
      </c>
      <c r="OV40" s="48" t="s">
        <v>44</v>
      </c>
    </row>
    <row r="41" ht="28" customHeight="1" spans="1:412" x14ac:dyDescent="0.25">
      <c r="A41" s="49" t="s">
        <v>32</v>
      </c>
      <c r="B41" s="40"/>
      <c r="C41" s="41"/>
      <c r="D41" s="40"/>
      <c r="E41" s="40"/>
      <c r="F41" s="42" t="s">
        <v>33</v>
      </c>
      <c r="G41" s="40"/>
      <c r="H41" s="40"/>
      <c r="I41" s="40"/>
      <c r="J41" s="40"/>
      <c r="K41" s="43"/>
      <c r="L41" s="44">
        <v>8</v>
      </c>
      <c r="M41" s="45">
        <v>8</v>
      </c>
      <c r="N41" s="45">
        <v>8</v>
      </c>
      <c r="O41" s="45">
        <v>8</v>
      </c>
      <c r="P41" s="45">
        <v>8</v>
      </c>
      <c r="Q41" s="46">
        <v>0</v>
      </c>
      <c r="R41" s="46">
        <v>0</v>
      </c>
      <c r="S41" s="45">
        <v>8</v>
      </c>
      <c r="T41" s="45">
        <v>8</v>
      </c>
      <c r="U41" s="45">
        <v>8</v>
      </c>
      <c r="V41" s="45">
        <v>12</v>
      </c>
      <c r="W41" s="45">
        <v>12</v>
      </c>
      <c r="X41" s="46">
        <v>12</v>
      </c>
      <c r="Y41" s="46">
        <v>12</v>
      </c>
      <c r="Z41" s="45">
        <v>12</v>
      </c>
      <c r="AA41" s="45">
        <v>12</v>
      </c>
      <c r="AB41" s="45">
        <v>12</v>
      </c>
      <c r="AC41" s="45">
        <v>12</v>
      </c>
      <c r="AD41" s="45">
        <v>12</v>
      </c>
      <c r="AE41" s="46">
        <v>12</v>
      </c>
      <c r="AF41" s="46">
        <v>12</v>
      </c>
      <c r="AG41" s="45">
        <v>12</v>
      </c>
      <c r="AH41" s="45">
        <v>12</v>
      </c>
      <c r="AI41" s="45">
        <v>12</v>
      </c>
      <c r="AJ41" s="45">
        <v>8</v>
      </c>
      <c r="AK41" s="45">
        <v>8</v>
      </c>
      <c r="AL41" s="46">
        <v>0</v>
      </c>
      <c r="AM41" s="46">
        <v>0</v>
      </c>
      <c r="AN41" s="45">
        <v>8</v>
      </c>
      <c r="AO41" s="45">
        <v>8</v>
      </c>
      <c r="AP41" s="45">
        <v>8</v>
      </c>
      <c r="AQ41" s="47">
        <v>8</v>
      </c>
      <c r="OV41" s="48" t="s">
        <v>44</v>
      </c>
    </row>
    <row r="42" spans="1:412" x14ac:dyDescent="0.25">
      <c r="A42" s="50"/>
      <c r="B42" s="51">
        <f>SUM(L42:AQ42)</f>
        <v>212</v>
      </c>
      <c r="C42" s="52"/>
      <c r="D42" s="53">
        <f>B42*E42</f>
        <v>19296.239999999998</v>
      </c>
      <c r="E42" s="53">
        <f>'Rate Tables'!C9</f>
        <v>91.02</v>
      </c>
      <c r="F42" s="54" t="s">
        <v>34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10</v>
      </c>
      <c r="W42" s="58">
        <v>10</v>
      </c>
      <c r="X42" s="59">
        <v>10</v>
      </c>
      <c r="Y42" s="59">
        <v>0</v>
      </c>
      <c r="Z42" s="58">
        <v>10</v>
      </c>
      <c r="AA42" s="58">
        <v>10</v>
      </c>
      <c r="AB42" s="58">
        <v>10</v>
      </c>
      <c r="AC42" s="58">
        <v>10</v>
      </c>
      <c r="AD42" s="58">
        <v>0</v>
      </c>
      <c r="AE42" s="59">
        <v>0</v>
      </c>
      <c r="AF42" s="59">
        <v>0</v>
      </c>
      <c r="AG42" s="58">
        <v>10</v>
      </c>
      <c r="AH42" s="58">
        <v>10</v>
      </c>
      <c r="AI42" s="58">
        <v>10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60">
        <v>8</v>
      </c>
      <c r="OV42" s="38" t="s">
        <v>44</v>
      </c>
    </row>
    <row r="43" spans="1:412" x14ac:dyDescent="0.25">
      <c r="A43" s="61"/>
      <c r="B43" s="62">
        <f>SUM(L43:AQ43)</f>
        <v>44</v>
      </c>
      <c r="C43" s="63"/>
      <c r="D43" s="64">
        <f>B43*E43</f>
        <v>5376.8</v>
      </c>
      <c r="E43" s="64">
        <f>'Rate Tables'!D9</f>
        <v>122.2</v>
      </c>
      <c r="F43" s="54" t="s">
        <v>35</v>
      </c>
      <c r="G43" s="65"/>
      <c r="H43" s="65"/>
      <c r="I43" s="65"/>
      <c r="J43" s="65"/>
      <c r="K43" s="66"/>
      <c r="L43" s="57">
        <v>0</v>
      </c>
      <c r="M43" s="58">
        <v>0</v>
      </c>
      <c r="N43" s="58">
        <v>0</v>
      </c>
      <c r="O43" s="58">
        <v>0</v>
      </c>
      <c r="P43" s="58">
        <v>0</v>
      </c>
      <c r="Q43" s="59">
        <v>0</v>
      </c>
      <c r="R43" s="59">
        <v>0</v>
      </c>
      <c r="S43" s="58">
        <v>0</v>
      </c>
      <c r="T43" s="58">
        <v>0</v>
      </c>
      <c r="U43" s="58">
        <v>0</v>
      </c>
      <c r="V43" s="58">
        <v>2</v>
      </c>
      <c r="W43" s="58">
        <v>2</v>
      </c>
      <c r="X43" s="59">
        <v>2</v>
      </c>
      <c r="Y43" s="59">
        <v>0</v>
      </c>
      <c r="Z43" s="58">
        <v>2</v>
      </c>
      <c r="AA43" s="58">
        <v>2</v>
      </c>
      <c r="AB43" s="58">
        <v>2</v>
      </c>
      <c r="AC43" s="58">
        <v>2</v>
      </c>
      <c r="AD43" s="58">
        <v>12</v>
      </c>
      <c r="AE43" s="59">
        <v>12</v>
      </c>
      <c r="AF43" s="59">
        <v>0</v>
      </c>
      <c r="AG43" s="58">
        <v>2</v>
      </c>
      <c r="AH43" s="58">
        <v>2</v>
      </c>
      <c r="AI43" s="58">
        <v>2</v>
      </c>
      <c r="AJ43" s="58">
        <v>0</v>
      </c>
      <c r="AK43" s="58">
        <v>0</v>
      </c>
      <c r="AL43" s="59">
        <v>0</v>
      </c>
      <c r="AM43" s="59">
        <v>0</v>
      </c>
      <c r="AN43" s="58">
        <v>0</v>
      </c>
      <c r="AO43" s="58">
        <v>0</v>
      </c>
      <c r="AP43" s="58">
        <v>0</v>
      </c>
      <c r="AQ43" s="60">
        <v>0</v>
      </c>
      <c r="OV43" s="38" t="s">
        <v>44</v>
      </c>
    </row>
    <row r="44" spans="1:412" x14ac:dyDescent="0.25">
      <c r="A44" s="50"/>
      <c r="B44" s="51">
        <f>SUM(L44:AQ44)</f>
        <v>24</v>
      </c>
      <c r="C44" s="52"/>
      <c r="D44" s="53">
        <f>B44*E44</f>
        <v>3681.3599999999997</v>
      </c>
      <c r="E44" s="53">
        <f>'Rate Tables'!E9</f>
        <v>153.39</v>
      </c>
      <c r="F44" s="54" t="s">
        <v>36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12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12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60">
        <v>0</v>
      </c>
      <c r="OV44" s="38" t="s">
        <v>44</v>
      </c>
    </row>
    <row r="45" spans="1:412" x14ac:dyDescent="0.25">
      <c r="A45" s="67"/>
      <c r="B45" s="68">
        <f>SUM(L45:AQ45)</f>
        <v>22</v>
      </c>
      <c r="C45" s="69"/>
      <c r="D45" s="70">
        <f>B45*E45</f>
        <v>3080</v>
      </c>
      <c r="E45" s="70">
        <v>140</v>
      </c>
      <c r="F45" s="71" t="s">
        <v>37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1</v>
      </c>
      <c r="Y45" s="76">
        <v>1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1</v>
      </c>
      <c r="AF45" s="76">
        <v>1</v>
      </c>
      <c r="AG45" s="75">
        <v>1</v>
      </c>
      <c r="AH45" s="75">
        <v>1</v>
      </c>
      <c r="AI45" s="75">
        <v>1</v>
      </c>
      <c r="AJ45" s="75">
        <v>0</v>
      </c>
      <c r="AK45" s="75">
        <v>0</v>
      </c>
      <c r="AL45" s="76">
        <v>0</v>
      </c>
      <c r="AM45" s="76">
        <v>0</v>
      </c>
      <c r="AN45" s="75">
        <v>0</v>
      </c>
      <c r="AO45" s="75">
        <v>0</v>
      </c>
      <c r="AP45" s="75">
        <v>0</v>
      </c>
      <c r="AQ45" s="77">
        <v>0</v>
      </c>
      <c r="OV45" s="48" t="s">
        <v>44</v>
      </c>
    </row>
    <row r="46" ht="8" customHeight="1" spans="1:43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</row>
    <row r="47" spans="1:412" x14ac:dyDescent="0.25">
      <c r="A47" s="80" t="s">
        <v>38</v>
      </c>
      <c r="B47" s="29">
        <f>G47+H47+I47</f>
        <v>232</v>
      </c>
      <c r="C47" s="30" t="s">
        <v>43</v>
      </c>
      <c r="D47" s="31">
        <f>K47</f>
        <v>23985.44</v>
      </c>
      <c r="E47" s="32"/>
      <c r="F47" s="32"/>
      <c r="G47" s="29">
        <f>B50</f>
        <v>164</v>
      </c>
      <c r="H47" s="29">
        <f>B51</f>
        <v>44</v>
      </c>
      <c r="I47" s="29">
        <f>B52</f>
        <v>24</v>
      </c>
      <c r="J47" s="29">
        <f>B53</f>
        <v>22</v>
      </c>
      <c r="K47" s="33">
        <f>D50+D51+D52</f>
        <v>23985.44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7"/>
      <c r="OV47" s="38" t="s">
        <v>45</v>
      </c>
    </row>
    <row r="48" spans="1:412" x14ac:dyDescent="0.25">
      <c r="A48" s="39"/>
      <c r="B48" s="40"/>
      <c r="C48" s="41"/>
      <c r="D48" s="40"/>
      <c r="E48" s="40"/>
      <c r="F48" s="42" t="s">
        <v>31</v>
      </c>
      <c r="G48" s="40"/>
      <c r="H48" s="40"/>
      <c r="I48" s="40"/>
      <c r="J48" s="40"/>
      <c r="K48" s="43"/>
      <c r="L48" s="44">
        <v>1</v>
      </c>
      <c r="M48" s="45">
        <v>1</v>
      </c>
      <c r="N48" s="45">
        <v>1</v>
      </c>
      <c r="O48" s="45">
        <v>1</v>
      </c>
      <c r="P48" s="45">
        <v>1</v>
      </c>
      <c r="Q48" s="46">
        <v>0</v>
      </c>
      <c r="R48" s="46">
        <v>0</v>
      </c>
      <c r="S48" s="45">
        <v>1</v>
      </c>
      <c r="T48" s="45">
        <v>1</v>
      </c>
      <c r="U48" s="45">
        <v>1</v>
      </c>
      <c r="V48" s="45">
        <v>1</v>
      </c>
      <c r="W48" s="45">
        <v>1</v>
      </c>
      <c r="X48" s="46">
        <v>1</v>
      </c>
      <c r="Y48" s="46">
        <v>1</v>
      </c>
      <c r="Z48" s="45">
        <v>1</v>
      </c>
      <c r="AA48" s="45">
        <v>1</v>
      </c>
      <c r="AB48" s="45">
        <v>1</v>
      </c>
      <c r="AC48" s="45">
        <v>1</v>
      </c>
      <c r="AD48" s="45">
        <v>1</v>
      </c>
      <c r="AE48" s="46">
        <v>1</v>
      </c>
      <c r="AF48" s="46">
        <v>1</v>
      </c>
      <c r="AG48" s="45">
        <v>1</v>
      </c>
      <c r="AH48" s="45">
        <v>1</v>
      </c>
      <c r="AI48" s="45">
        <v>1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7">
        <v>0</v>
      </c>
      <c r="OV48" s="48" t="s">
        <v>45</v>
      </c>
    </row>
    <row r="49" ht="28" customHeight="1" spans="1:412" x14ac:dyDescent="0.25">
      <c r="A49" s="49" t="s">
        <v>32</v>
      </c>
      <c r="B49" s="40"/>
      <c r="C49" s="41"/>
      <c r="D49" s="40"/>
      <c r="E49" s="40"/>
      <c r="F49" s="42" t="s">
        <v>33</v>
      </c>
      <c r="G49" s="40"/>
      <c r="H49" s="40"/>
      <c r="I49" s="40"/>
      <c r="J49" s="40"/>
      <c r="K49" s="43"/>
      <c r="L49" s="44">
        <v>8</v>
      </c>
      <c r="M49" s="45">
        <v>8</v>
      </c>
      <c r="N49" s="45">
        <v>8</v>
      </c>
      <c r="O49" s="45">
        <v>8</v>
      </c>
      <c r="P49" s="45">
        <v>8</v>
      </c>
      <c r="Q49" s="46">
        <v>0</v>
      </c>
      <c r="R49" s="46">
        <v>0</v>
      </c>
      <c r="S49" s="45">
        <v>8</v>
      </c>
      <c r="T49" s="45">
        <v>8</v>
      </c>
      <c r="U49" s="45">
        <v>8</v>
      </c>
      <c r="V49" s="45">
        <v>12</v>
      </c>
      <c r="W49" s="45">
        <v>12</v>
      </c>
      <c r="X49" s="46">
        <v>12</v>
      </c>
      <c r="Y49" s="46">
        <v>12</v>
      </c>
      <c r="Z49" s="45">
        <v>12</v>
      </c>
      <c r="AA49" s="45">
        <v>12</v>
      </c>
      <c r="AB49" s="45">
        <v>12</v>
      </c>
      <c r="AC49" s="45">
        <v>12</v>
      </c>
      <c r="AD49" s="45">
        <v>12</v>
      </c>
      <c r="AE49" s="46">
        <v>12</v>
      </c>
      <c r="AF49" s="46">
        <v>12</v>
      </c>
      <c r="AG49" s="45">
        <v>12</v>
      </c>
      <c r="AH49" s="45">
        <v>12</v>
      </c>
      <c r="AI49" s="45">
        <v>12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7">
        <v>0</v>
      </c>
      <c r="OV49" s="48" t="s">
        <v>45</v>
      </c>
    </row>
    <row r="50" spans="1:412" x14ac:dyDescent="0.25">
      <c r="A50" s="50"/>
      <c r="B50" s="51">
        <f>SUM(L50:AQ50)</f>
        <v>164</v>
      </c>
      <c r="C50" s="52"/>
      <c r="D50" s="53">
        <f>B50*E50</f>
        <v>14927.279999999999</v>
      </c>
      <c r="E50" s="53">
        <f>'Rate Tables'!C9</f>
        <v>91.02</v>
      </c>
      <c r="F50" s="54" t="s">
        <v>34</v>
      </c>
      <c r="G50" s="55"/>
      <c r="H50" s="55"/>
      <c r="I50" s="55"/>
      <c r="J50" s="55"/>
      <c r="K50" s="56"/>
      <c r="L50" s="57">
        <v>8</v>
      </c>
      <c r="M50" s="58">
        <v>8</v>
      </c>
      <c r="N50" s="58">
        <v>8</v>
      </c>
      <c r="O50" s="58">
        <v>8</v>
      </c>
      <c r="P50" s="58">
        <v>8</v>
      </c>
      <c r="Q50" s="59">
        <v>0</v>
      </c>
      <c r="R50" s="59">
        <v>0</v>
      </c>
      <c r="S50" s="58">
        <v>8</v>
      </c>
      <c r="T50" s="58">
        <v>8</v>
      </c>
      <c r="U50" s="58">
        <v>8</v>
      </c>
      <c r="V50" s="58">
        <v>10</v>
      </c>
      <c r="W50" s="58">
        <v>10</v>
      </c>
      <c r="X50" s="59">
        <v>10</v>
      </c>
      <c r="Y50" s="59">
        <v>0</v>
      </c>
      <c r="Z50" s="58">
        <v>10</v>
      </c>
      <c r="AA50" s="58">
        <v>10</v>
      </c>
      <c r="AB50" s="58">
        <v>10</v>
      </c>
      <c r="AC50" s="58">
        <v>10</v>
      </c>
      <c r="AD50" s="58">
        <v>0</v>
      </c>
      <c r="AE50" s="59">
        <v>0</v>
      </c>
      <c r="AF50" s="59">
        <v>0</v>
      </c>
      <c r="AG50" s="58">
        <v>10</v>
      </c>
      <c r="AH50" s="58">
        <v>10</v>
      </c>
      <c r="AI50" s="58">
        <v>10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60">
        <v>0</v>
      </c>
      <c r="OV50" s="38" t="s">
        <v>45</v>
      </c>
    </row>
    <row r="51" spans="1:412" x14ac:dyDescent="0.25">
      <c r="A51" s="61"/>
      <c r="B51" s="62">
        <f>SUM(L51:AQ51)</f>
        <v>44</v>
      </c>
      <c r="C51" s="63"/>
      <c r="D51" s="64">
        <f>B51*E51</f>
        <v>5376.8</v>
      </c>
      <c r="E51" s="64">
        <f>'Rate Tables'!D9</f>
        <v>122.2</v>
      </c>
      <c r="F51" s="54" t="s">
        <v>35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2</v>
      </c>
      <c r="W51" s="58">
        <v>2</v>
      </c>
      <c r="X51" s="59">
        <v>2</v>
      </c>
      <c r="Y51" s="59">
        <v>0</v>
      </c>
      <c r="Z51" s="58">
        <v>2</v>
      </c>
      <c r="AA51" s="58">
        <v>2</v>
      </c>
      <c r="AB51" s="58">
        <v>2</v>
      </c>
      <c r="AC51" s="58">
        <v>2</v>
      </c>
      <c r="AD51" s="58">
        <v>12</v>
      </c>
      <c r="AE51" s="59">
        <v>12</v>
      </c>
      <c r="AF51" s="59">
        <v>0</v>
      </c>
      <c r="AG51" s="58">
        <v>2</v>
      </c>
      <c r="AH51" s="58">
        <v>2</v>
      </c>
      <c r="AI51" s="58">
        <v>2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60">
        <v>0</v>
      </c>
      <c r="OV51" s="38" t="s">
        <v>45</v>
      </c>
    </row>
    <row r="52" spans="1:412" x14ac:dyDescent="0.25">
      <c r="A52" s="50"/>
      <c r="B52" s="51">
        <f>SUM(L52:AQ52)</f>
        <v>24</v>
      </c>
      <c r="C52" s="52"/>
      <c r="D52" s="53">
        <f>B52*E52</f>
        <v>3681.3599999999997</v>
      </c>
      <c r="E52" s="53">
        <f>'Rate Tables'!E9</f>
        <v>153.39</v>
      </c>
      <c r="F52" s="54" t="s">
        <v>36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12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12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60">
        <v>0</v>
      </c>
      <c r="OV52" s="38" t="s">
        <v>45</v>
      </c>
    </row>
    <row r="53" spans="1:412" x14ac:dyDescent="0.25">
      <c r="A53" s="67"/>
      <c r="B53" s="68">
        <f>SUM(L53:AQ53)</f>
        <v>22</v>
      </c>
      <c r="C53" s="69"/>
      <c r="D53" s="70">
        <f>B53*E53</f>
        <v>3080</v>
      </c>
      <c r="E53" s="70">
        <v>140</v>
      </c>
      <c r="F53" s="71" t="s">
        <v>37</v>
      </c>
      <c r="G53" s="72"/>
      <c r="H53" s="72"/>
      <c r="I53" s="72"/>
      <c r="J53" s="72"/>
      <c r="K53" s="73"/>
      <c r="L53" s="74">
        <v>1</v>
      </c>
      <c r="M53" s="75">
        <v>1</v>
      </c>
      <c r="N53" s="75">
        <v>1</v>
      </c>
      <c r="O53" s="75">
        <v>1</v>
      </c>
      <c r="P53" s="75">
        <v>1</v>
      </c>
      <c r="Q53" s="76">
        <v>0</v>
      </c>
      <c r="R53" s="76">
        <v>0</v>
      </c>
      <c r="S53" s="75">
        <v>1</v>
      </c>
      <c r="T53" s="75">
        <v>1</v>
      </c>
      <c r="U53" s="75">
        <v>1</v>
      </c>
      <c r="V53" s="75">
        <v>1</v>
      </c>
      <c r="W53" s="75">
        <v>1</v>
      </c>
      <c r="X53" s="76">
        <v>1</v>
      </c>
      <c r="Y53" s="76">
        <v>1</v>
      </c>
      <c r="Z53" s="75">
        <v>1</v>
      </c>
      <c r="AA53" s="75">
        <v>1</v>
      </c>
      <c r="AB53" s="75">
        <v>1</v>
      </c>
      <c r="AC53" s="75">
        <v>1</v>
      </c>
      <c r="AD53" s="75">
        <v>1</v>
      </c>
      <c r="AE53" s="76">
        <v>1</v>
      </c>
      <c r="AF53" s="76">
        <v>1</v>
      </c>
      <c r="AG53" s="75">
        <v>1</v>
      </c>
      <c r="AH53" s="75">
        <v>1</v>
      </c>
      <c r="AI53" s="75">
        <v>1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7">
        <v>0</v>
      </c>
      <c r="OV53" s="48" t="s">
        <v>45</v>
      </c>
    </row>
    <row r="54" ht="8" customHeight="1" spans="1:43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</row>
    <row r="55" spans="1:412" x14ac:dyDescent="0.25">
      <c r="A55" s="28" t="s">
        <v>28</v>
      </c>
      <c r="B55" s="29">
        <f>G55+H55+I55</f>
        <v>280</v>
      </c>
      <c r="C55" s="30" t="s">
        <v>46</v>
      </c>
      <c r="D55" s="31">
        <f>K55</f>
        <v>36191.68</v>
      </c>
      <c r="E55" s="32"/>
      <c r="F55" s="32"/>
      <c r="G55" s="29">
        <f>B58</f>
        <v>192</v>
      </c>
      <c r="H55" s="29">
        <f>B59</f>
        <v>64</v>
      </c>
      <c r="I55" s="29">
        <f>B60</f>
        <v>24</v>
      </c>
      <c r="J55" s="29">
        <f>B61</f>
        <v>22</v>
      </c>
      <c r="K55" s="33">
        <f>D58+D59+D60</f>
        <v>36191.68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7"/>
      <c r="OV55" s="38" t="s">
        <v>47</v>
      </c>
    </row>
    <row r="56" spans="1:412" x14ac:dyDescent="0.25">
      <c r="A56" s="39"/>
      <c r="B56" s="40"/>
      <c r="C56" s="41"/>
      <c r="D56" s="40"/>
      <c r="E56" s="40"/>
      <c r="F56" s="42" t="s">
        <v>31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1</v>
      </c>
      <c r="Y56" s="46">
        <v>1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1</v>
      </c>
      <c r="AF56" s="46">
        <v>1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7">
        <v>1</v>
      </c>
      <c r="OV56" s="48" t="s">
        <v>47</v>
      </c>
    </row>
    <row r="57" ht="28" customHeight="1" spans="1:412" x14ac:dyDescent="0.25">
      <c r="A57" s="49" t="s">
        <v>32</v>
      </c>
      <c r="B57" s="40"/>
      <c r="C57" s="41"/>
      <c r="D57" s="40"/>
      <c r="E57" s="40"/>
      <c r="F57" s="42" t="s">
        <v>33</v>
      </c>
      <c r="G57" s="40"/>
      <c r="H57" s="40"/>
      <c r="I57" s="40"/>
      <c r="J57" s="40"/>
      <c r="K57" s="43"/>
      <c r="L57" s="44">
        <v>8</v>
      </c>
      <c r="M57" s="45">
        <v>8</v>
      </c>
      <c r="N57" s="45">
        <v>8</v>
      </c>
      <c r="O57" s="45">
        <v>8</v>
      </c>
      <c r="P57" s="45">
        <v>8</v>
      </c>
      <c r="Q57" s="46">
        <v>0</v>
      </c>
      <c r="R57" s="46">
        <v>0</v>
      </c>
      <c r="S57" s="45">
        <v>8</v>
      </c>
      <c r="T57" s="45">
        <v>8</v>
      </c>
      <c r="U57" s="45">
        <v>8</v>
      </c>
      <c r="V57" s="45">
        <v>12</v>
      </c>
      <c r="W57" s="45">
        <v>12</v>
      </c>
      <c r="X57" s="46">
        <v>12</v>
      </c>
      <c r="Y57" s="46">
        <v>12</v>
      </c>
      <c r="Z57" s="45">
        <v>12</v>
      </c>
      <c r="AA57" s="45">
        <v>12</v>
      </c>
      <c r="AB57" s="45">
        <v>12</v>
      </c>
      <c r="AC57" s="45">
        <v>12</v>
      </c>
      <c r="AD57" s="45">
        <v>12</v>
      </c>
      <c r="AE57" s="46">
        <v>12</v>
      </c>
      <c r="AF57" s="46">
        <v>12</v>
      </c>
      <c r="AG57" s="45">
        <v>12</v>
      </c>
      <c r="AH57" s="45">
        <v>12</v>
      </c>
      <c r="AI57" s="45">
        <v>12</v>
      </c>
      <c r="AJ57" s="45">
        <v>8</v>
      </c>
      <c r="AK57" s="45">
        <v>8</v>
      </c>
      <c r="AL57" s="46">
        <v>0</v>
      </c>
      <c r="AM57" s="46">
        <v>0</v>
      </c>
      <c r="AN57" s="45">
        <v>8</v>
      </c>
      <c r="AO57" s="45">
        <v>8</v>
      </c>
      <c r="AP57" s="45">
        <v>8</v>
      </c>
      <c r="AQ57" s="47">
        <v>8</v>
      </c>
      <c r="OV57" s="48" t="s">
        <v>47</v>
      </c>
    </row>
    <row r="58" spans="1:412" x14ac:dyDescent="0.25">
      <c r="A58" s="50"/>
      <c r="B58" s="51">
        <f>SUM(L58:AQ58)</f>
        <v>192</v>
      </c>
      <c r="C58" s="52"/>
      <c r="D58" s="53">
        <f>B58*E58</f>
        <v>21354.239999999998</v>
      </c>
      <c r="E58" s="53">
        <f>'Rate Tables'!C10</f>
        <v>111.22</v>
      </c>
      <c r="F58" s="54" t="s">
        <v>34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60">
        <v>8</v>
      </c>
      <c r="OV58" s="38" t="s">
        <v>47</v>
      </c>
    </row>
    <row r="59" spans="1:412" x14ac:dyDescent="0.25">
      <c r="A59" s="61"/>
      <c r="B59" s="62">
        <f>SUM(L59:AQ59)</f>
        <v>64</v>
      </c>
      <c r="C59" s="63"/>
      <c r="D59" s="64">
        <f>B59*E59</f>
        <v>10003.84</v>
      </c>
      <c r="E59" s="64">
        <f>'Rate Tables'!D10</f>
        <v>156.31</v>
      </c>
      <c r="F59" s="54" t="s">
        <v>35</v>
      </c>
      <c r="G59" s="65"/>
      <c r="H59" s="65"/>
      <c r="I59" s="65"/>
      <c r="J59" s="65"/>
      <c r="K59" s="66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4</v>
      </c>
      <c r="W59" s="58">
        <v>4</v>
      </c>
      <c r="X59" s="59">
        <v>12</v>
      </c>
      <c r="Y59" s="59">
        <v>0</v>
      </c>
      <c r="Z59" s="58">
        <v>4</v>
      </c>
      <c r="AA59" s="58">
        <v>4</v>
      </c>
      <c r="AB59" s="58">
        <v>4</v>
      </c>
      <c r="AC59" s="58">
        <v>4</v>
      </c>
      <c r="AD59" s="58">
        <v>4</v>
      </c>
      <c r="AE59" s="59">
        <v>12</v>
      </c>
      <c r="AF59" s="59">
        <v>0</v>
      </c>
      <c r="AG59" s="58">
        <v>4</v>
      </c>
      <c r="AH59" s="58">
        <v>4</v>
      </c>
      <c r="AI59" s="58">
        <v>4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60">
        <v>0</v>
      </c>
      <c r="OV59" s="38" t="s">
        <v>47</v>
      </c>
    </row>
    <row r="60" spans="1:412" x14ac:dyDescent="0.25">
      <c r="A60" s="50"/>
      <c r="B60" s="51">
        <f>SUM(L60:AQ60)</f>
        <v>24</v>
      </c>
      <c r="C60" s="52"/>
      <c r="D60" s="53">
        <f>B60*E60</f>
        <v>4833.6</v>
      </c>
      <c r="E60" s="53">
        <f>'Rate Tables'!E10</f>
        <v>201.4</v>
      </c>
      <c r="F60" s="54" t="s">
        <v>36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12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12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60">
        <v>0</v>
      </c>
      <c r="OV60" s="38" t="s">
        <v>47</v>
      </c>
    </row>
    <row r="61" spans="1:412" x14ac:dyDescent="0.25">
      <c r="A61" s="67"/>
      <c r="B61" s="68">
        <f>SUM(L61:AQ61)</f>
        <v>22</v>
      </c>
      <c r="C61" s="69"/>
      <c r="D61" s="70">
        <f>B61*E61</f>
        <v>3080</v>
      </c>
      <c r="E61" s="70">
        <v>140</v>
      </c>
      <c r="F61" s="71" t="s">
        <v>37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1</v>
      </c>
      <c r="Y61" s="76">
        <v>1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1</v>
      </c>
      <c r="AF61" s="76">
        <v>1</v>
      </c>
      <c r="AG61" s="75">
        <v>1</v>
      </c>
      <c r="AH61" s="75">
        <v>1</v>
      </c>
      <c r="AI61" s="75">
        <v>1</v>
      </c>
      <c r="AJ61" s="75">
        <v>0</v>
      </c>
      <c r="AK61" s="75">
        <v>0</v>
      </c>
      <c r="AL61" s="76">
        <v>0</v>
      </c>
      <c r="AM61" s="76">
        <v>0</v>
      </c>
      <c r="AN61" s="75">
        <v>0</v>
      </c>
      <c r="AO61" s="75">
        <v>0</v>
      </c>
      <c r="AP61" s="75">
        <v>0</v>
      </c>
      <c r="AQ61" s="77">
        <v>0</v>
      </c>
      <c r="OV61" s="48" t="s">
        <v>47</v>
      </c>
    </row>
    <row r="62" ht="8" customHeight="1" spans="1:43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</row>
    <row r="63" spans="1:412" x14ac:dyDescent="0.25">
      <c r="A63" s="80" t="s">
        <v>38</v>
      </c>
      <c r="B63" s="29">
        <f>G63+H63+I63</f>
        <v>232</v>
      </c>
      <c r="C63" s="30" t="s">
        <v>46</v>
      </c>
      <c r="D63" s="31">
        <f>K63</f>
        <v>30853.120000000003</v>
      </c>
      <c r="E63" s="32"/>
      <c r="F63" s="32"/>
      <c r="G63" s="29">
        <f>B66</f>
        <v>144</v>
      </c>
      <c r="H63" s="29">
        <f>B67</f>
        <v>64</v>
      </c>
      <c r="I63" s="29">
        <f>B68</f>
        <v>24</v>
      </c>
      <c r="J63" s="29">
        <f>B69</f>
        <v>22</v>
      </c>
      <c r="K63" s="33">
        <f>D66+D67+D68</f>
        <v>30853.120000000003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7"/>
      <c r="OV63" s="38" t="s">
        <v>48</v>
      </c>
    </row>
    <row r="64" spans="1:412" x14ac:dyDescent="0.25">
      <c r="A64" s="39"/>
      <c r="B64" s="40"/>
      <c r="C64" s="41"/>
      <c r="D64" s="40"/>
      <c r="E64" s="40"/>
      <c r="F64" s="42" t="s">
        <v>31</v>
      </c>
      <c r="G64" s="40"/>
      <c r="H64" s="40"/>
      <c r="I64" s="40"/>
      <c r="J64" s="40"/>
      <c r="K64" s="43"/>
      <c r="L64" s="44">
        <v>1</v>
      </c>
      <c r="M64" s="45">
        <v>1</v>
      </c>
      <c r="N64" s="45">
        <v>1</v>
      </c>
      <c r="O64" s="45">
        <v>1</v>
      </c>
      <c r="P64" s="45">
        <v>1</v>
      </c>
      <c r="Q64" s="46">
        <v>0</v>
      </c>
      <c r="R64" s="46">
        <v>0</v>
      </c>
      <c r="S64" s="45">
        <v>1</v>
      </c>
      <c r="T64" s="45">
        <v>1</v>
      </c>
      <c r="U64" s="45">
        <v>1</v>
      </c>
      <c r="V64" s="45">
        <v>1</v>
      </c>
      <c r="W64" s="45">
        <v>1</v>
      </c>
      <c r="X64" s="46">
        <v>1</v>
      </c>
      <c r="Y64" s="46">
        <v>1</v>
      </c>
      <c r="Z64" s="45">
        <v>1</v>
      </c>
      <c r="AA64" s="45">
        <v>1</v>
      </c>
      <c r="AB64" s="45">
        <v>1</v>
      </c>
      <c r="AC64" s="45">
        <v>1</v>
      </c>
      <c r="AD64" s="45">
        <v>1</v>
      </c>
      <c r="AE64" s="46">
        <v>1</v>
      </c>
      <c r="AF64" s="46">
        <v>1</v>
      </c>
      <c r="AG64" s="45">
        <v>1</v>
      </c>
      <c r="AH64" s="45">
        <v>1</v>
      </c>
      <c r="AI64" s="45">
        <v>1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7">
        <v>0</v>
      </c>
      <c r="OV64" s="48" t="s">
        <v>48</v>
      </c>
    </row>
    <row r="65" ht="28" customHeight="1" spans="1:412" x14ac:dyDescent="0.25">
      <c r="A65" s="49" t="s">
        <v>32</v>
      </c>
      <c r="B65" s="40"/>
      <c r="C65" s="41"/>
      <c r="D65" s="40"/>
      <c r="E65" s="40"/>
      <c r="F65" s="42" t="s">
        <v>33</v>
      </c>
      <c r="G65" s="40"/>
      <c r="H65" s="40"/>
      <c r="I65" s="40"/>
      <c r="J65" s="40"/>
      <c r="K65" s="43"/>
      <c r="L65" s="44">
        <v>8</v>
      </c>
      <c r="M65" s="45">
        <v>8</v>
      </c>
      <c r="N65" s="45">
        <v>8</v>
      </c>
      <c r="O65" s="45">
        <v>8</v>
      </c>
      <c r="P65" s="45">
        <v>8</v>
      </c>
      <c r="Q65" s="46">
        <v>0</v>
      </c>
      <c r="R65" s="46">
        <v>0</v>
      </c>
      <c r="S65" s="45">
        <v>8</v>
      </c>
      <c r="T65" s="45">
        <v>8</v>
      </c>
      <c r="U65" s="45">
        <v>8</v>
      </c>
      <c r="V65" s="45">
        <v>12</v>
      </c>
      <c r="W65" s="45">
        <v>12</v>
      </c>
      <c r="X65" s="46">
        <v>12</v>
      </c>
      <c r="Y65" s="46">
        <v>12</v>
      </c>
      <c r="Z65" s="45">
        <v>12</v>
      </c>
      <c r="AA65" s="45">
        <v>12</v>
      </c>
      <c r="AB65" s="45">
        <v>12</v>
      </c>
      <c r="AC65" s="45">
        <v>12</v>
      </c>
      <c r="AD65" s="45">
        <v>12</v>
      </c>
      <c r="AE65" s="46">
        <v>12</v>
      </c>
      <c r="AF65" s="46">
        <v>12</v>
      </c>
      <c r="AG65" s="45">
        <v>12</v>
      </c>
      <c r="AH65" s="45">
        <v>12</v>
      </c>
      <c r="AI65" s="45">
        <v>12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7">
        <v>0</v>
      </c>
      <c r="OV65" s="48" t="s">
        <v>48</v>
      </c>
    </row>
    <row r="66" spans="1:412" x14ac:dyDescent="0.25">
      <c r="A66" s="50"/>
      <c r="B66" s="51">
        <f>SUM(L66:AQ66)</f>
        <v>144</v>
      </c>
      <c r="C66" s="52"/>
      <c r="D66" s="53">
        <f>B66*E66</f>
        <v>16015.68</v>
      </c>
      <c r="E66" s="53">
        <f>'Rate Tables'!C10</f>
        <v>111.22</v>
      </c>
      <c r="F66" s="54" t="s">
        <v>34</v>
      </c>
      <c r="G66" s="55"/>
      <c r="H66" s="55"/>
      <c r="I66" s="55"/>
      <c r="J66" s="55"/>
      <c r="K66" s="56"/>
      <c r="L66" s="57">
        <v>8</v>
      </c>
      <c r="M66" s="58">
        <v>8</v>
      </c>
      <c r="N66" s="58">
        <v>8</v>
      </c>
      <c r="O66" s="58">
        <v>8</v>
      </c>
      <c r="P66" s="58">
        <v>8</v>
      </c>
      <c r="Q66" s="59">
        <v>0</v>
      </c>
      <c r="R66" s="59">
        <v>0</v>
      </c>
      <c r="S66" s="58">
        <v>8</v>
      </c>
      <c r="T66" s="58">
        <v>8</v>
      </c>
      <c r="U66" s="58">
        <v>8</v>
      </c>
      <c r="V66" s="58">
        <v>8</v>
      </c>
      <c r="W66" s="58">
        <v>8</v>
      </c>
      <c r="X66" s="59">
        <v>0</v>
      </c>
      <c r="Y66" s="59">
        <v>0</v>
      </c>
      <c r="Z66" s="58">
        <v>8</v>
      </c>
      <c r="AA66" s="58">
        <v>8</v>
      </c>
      <c r="AB66" s="58">
        <v>8</v>
      </c>
      <c r="AC66" s="58">
        <v>8</v>
      </c>
      <c r="AD66" s="58">
        <v>8</v>
      </c>
      <c r="AE66" s="59">
        <v>0</v>
      </c>
      <c r="AF66" s="59">
        <v>0</v>
      </c>
      <c r="AG66" s="58">
        <v>8</v>
      </c>
      <c r="AH66" s="58">
        <v>8</v>
      </c>
      <c r="AI66" s="58">
        <v>8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60">
        <v>0</v>
      </c>
      <c r="OV66" s="38" t="s">
        <v>48</v>
      </c>
    </row>
    <row r="67" spans="1:412" x14ac:dyDescent="0.25">
      <c r="A67" s="61"/>
      <c r="B67" s="62">
        <f>SUM(L67:AQ67)</f>
        <v>64</v>
      </c>
      <c r="C67" s="63"/>
      <c r="D67" s="64">
        <f>B67*E67</f>
        <v>10003.84</v>
      </c>
      <c r="E67" s="64">
        <f>'Rate Tables'!D10</f>
        <v>156.31</v>
      </c>
      <c r="F67" s="54" t="s">
        <v>35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4</v>
      </c>
      <c r="W67" s="58">
        <v>4</v>
      </c>
      <c r="X67" s="59">
        <v>12</v>
      </c>
      <c r="Y67" s="59">
        <v>0</v>
      </c>
      <c r="Z67" s="58">
        <v>4</v>
      </c>
      <c r="AA67" s="58">
        <v>4</v>
      </c>
      <c r="AB67" s="58">
        <v>4</v>
      </c>
      <c r="AC67" s="58">
        <v>4</v>
      </c>
      <c r="AD67" s="58">
        <v>4</v>
      </c>
      <c r="AE67" s="59">
        <v>12</v>
      </c>
      <c r="AF67" s="59">
        <v>0</v>
      </c>
      <c r="AG67" s="58">
        <v>4</v>
      </c>
      <c r="AH67" s="58">
        <v>4</v>
      </c>
      <c r="AI67" s="58">
        <v>4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60">
        <v>0</v>
      </c>
      <c r="OV67" s="38" t="s">
        <v>48</v>
      </c>
    </row>
    <row r="68" spans="1:412" x14ac:dyDescent="0.25">
      <c r="A68" s="50"/>
      <c r="B68" s="51">
        <f>SUM(L68:AQ68)</f>
        <v>24</v>
      </c>
      <c r="C68" s="52"/>
      <c r="D68" s="53">
        <f>B68*E68</f>
        <v>4833.6</v>
      </c>
      <c r="E68" s="53">
        <f>'Rate Tables'!E10</f>
        <v>201.4</v>
      </c>
      <c r="F68" s="54" t="s">
        <v>36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12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12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60">
        <v>0</v>
      </c>
      <c r="OV68" s="38" t="s">
        <v>48</v>
      </c>
    </row>
    <row r="69" spans="1:412" x14ac:dyDescent="0.25">
      <c r="A69" s="67"/>
      <c r="B69" s="68">
        <f>SUM(L69:AQ69)</f>
        <v>22</v>
      </c>
      <c r="C69" s="69"/>
      <c r="D69" s="70">
        <f>B69*E69</f>
        <v>3080</v>
      </c>
      <c r="E69" s="70">
        <v>140</v>
      </c>
      <c r="F69" s="71" t="s">
        <v>37</v>
      </c>
      <c r="G69" s="72"/>
      <c r="H69" s="72"/>
      <c r="I69" s="72"/>
      <c r="J69" s="72"/>
      <c r="K69" s="73"/>
      <c r="L69" s="74">
        <v>1</v>
      </c>
      <c r="M69" s="75">
        <v>1</v>
      </c>
      <c r="N69" s="75">
        <v>1</v>
      </c>
      <c r="O69" s="75">
        <v>1</v>
      </c>
      <c r="P69" s="75">
        <v>1</v>
      </c>
      <c r="Q69" s="76">
        <v>0</v>
      </c>
      <c r="R69" s="76">
        <v>0</v>
      </c>
      <c r="S69" s="75">
        <v>1</v>
      </c>
      <c r="T69" s="75">
        <v>1</v>
      </c>
      <c r="U69" s="75">
        <v>1</v>
      </c>
      <c r="V69" s="75">
        <v>1</v>
      </c>
      <c r="W69" s="75">
        <v>1</v>
      </c>
      <c r="X69" s="76">
        <v>1</v>
      </c>
      <c r="Y69" s="76">
        <v>1</v>
      </c>
      <c r="Z69" s="75">
        <v>1</v>
      </c>
      <c r="AA69" s="75">
        <v>1</v>
      </c>
      <c r="AB69" s="75">
        <v>1</v>
      </c>
      <c r="AC69" s="75">
        <v>1</v>
      </c>
      <c r="AD69" s="75">
        <v>1</v>
      </c>
      <c r="AE69" s="76">
        <v>1</v>
      </c>
      <c r="AF69" s="76">
        <v>1</v>
      </c>
      <c r="AG69" s="75">
        <v>1</v>
      </c>
      <c r="AH69" s="75">
        <v>1</v>
      </c>
      <c r="AI69" s="75">
        <v>1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7">
        <v>0</v>
      </c>
      <c r="OV69" s="48" t="s">
        <v>48</v>
      </c>
    </row>
    <row r="70" spans="1:11" x14ac:dyDescent="0.25">
      <c r="A70" s="15" t="s">
        <v>49</v>
      </c>
      <c r="B70" s="17">
        <f>SUM(B7,B15,B23,B31,B39,B47,B55,B63)</f>
        <v>2048</v>
      </c>
      <c r="C70" s="81"/>
      <c r="D70" s="21">
        <f>SUM(D13,D21,D29,D37,D45,D53,D61,D69)</f>
        <v>24640</v>
      </c>
      <c r="E70" s="16"/>
      <c r="F70" s="16"/>
      <c r="G70" s="17">
        <f>SUM(G7,G15,G23,G31,G39,G47,G55,G63)</f>
        <v>1464</v>
      </c>
      <c r="H70" s="17">
        <f>SUM(H7,H15,H23,H31,H39,H47,H55,H63)</f>
        <v>392</v>
      </c>
      <c r="I70" s="17">
        <f>SUM(I7,I15,I23,I31,I39,I47,I55,I63)</f>
        <v>192</v>
      </c>
      <c r="J70" s="17">
        <f>SUM(J7,J15,J23,J31,J39,J47,J55,J63)</f>
        <v>176</v>
      </c>
      <c r="K70" s="21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512</v>
      </c>
      <c r="C7" s="30" t="s">
        <v>50</v>
      </c>
      <c r="D7" s="31">
        <f>K7</f>
        <v>63360.64</v>
      </c>
      <c r="E7" s="32"/>
      <c r="F7" s="32"/>
      <c r="G7" s="29">
        <f>B10</f>
        <v>336</v>
      </c>
      <c r="H7" s="29">
        <f>B11</f>
        <v>128</v>
      </c>
      <c r="I7" s="29">
        <f>B12</f>
        <v>48</v>
      </c>
      <c r="J7" s="29">
        <f>B13</f>
        <v>50</v>
      </c>
      <c r="K7" s="33">
        <f>D10+D11+D12</f>
        <v>63360.64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51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2</v>
      </c>
      <c r="M8" s="45">
        <v>2</v>
      </c>
      <c r="N8" s="45">
        <v>2</v>
      </c>
      <c r="O8" s="45">
        <v>2</v>
      </c>
      <c r="P8" s="45">
        <v>2</v>
      </c>
      <c r="Q8" s="46">
        <v>0</v>
      </c>
      <c r="R8" s="46">
        <v>0</v>
      </c>
      <c r="S8" s="45">
        <v>2</v>
      </c>
      <c r="T8" s="45">
        <v>2</v>
      </c>
      <c r="U8" s="45">
        <v>2</v>
      </c>
      <c r="V8" s="45">
        <v>2</v>
      </c>
      <c r="W8" s="45">
        <v>2</v>
      </c>
      <c r="X8" s="46">
        <v>2</v>
      </c>
      <c r="Y8" s="46">
        <v>2</v>
      </c>
      <c r="Z8" s="45">
        <v>2</v>
      </c>
      <c r="AA8" s="45">
        <v>2</v>
      </c>
      <c r="AB8" s="45">
        <v>2</v>
      </c>
      <c r="AC8" s="45">
        <v>2</v>
      </c>
      <c r="AD8" s="45">
        <v>2</v>
      </c>
      <c r="AE8" s="46">
        <v>2</v>
      </c>
      <c r="AF8" s="46">
        <v>2</v>
      </c>
      <c r="AG8" s="45">
        <v>2</v>
      </c>
      <c r="AH8" s="45">
        <v>2</v>
      </c>
      <c r="AI8" s="45">
        <v>2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51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51</v>
      </c>
    </row>
    <row r="10" spans="1:412" x14ac:dyDescent="0.25">
      <c r="A10" s="50"/>
      <c r="B10" s="51">
        <f>SUM(L10:AQ10)</f>
        <v>336</v>
      </c>
      <c r="C10" s="52"/>
      <c r="D10" s="53">
        <f>B10*E10</f>
        <v>35374.08</v>
      </c>
      <c r="E10" s="53">
        <f>'Rate Tables'!C11</f>
        <v>105.28</v>
      </c>
      <c r="F10" s="54" t="s">
        <v>34</v>
      </c>
      <c r="G10" s="55"/>
      <c r="H10" s="55"/>
      <c r="I10" s="55"/>
      <c r="J10" s="55"/>
      <c r="K10" s="56"/>
      <c r="L10" s="57">
        <v>16</v>
      </c>
      <c r="M10" s="58">
        <v>16</v>
      </c>
      <c r="N10" s="58">
        <v>16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51</v>
      </c>
    </row>
    <row r="11" spans="1:412" x14ac:dyDescent="0.25">
      <c r="A11" s="61"/>
      <c r="B11" s="62">
        <f>SUM(L11:AQ11)</f>
        <v>128</v>
      </c>
      <c r="C11" s="63"/>
      <c r="D11" s="64">
        <f>B11*E11</f>
        <v>18880</v>
      </c>
      <c r="E11" s="64">
        <f>'Rate Tables'!D11</f>
        <v>147.5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8</v>
      </c>
      <c r="W11" s="58">
        <v>8</v>
      </c>
      <c r="X11" s="59">
        <v>24</v>
      </c>
      <c r="Y11" s="59">
        <v>0</v>
      </c>
      <c r="Z11" s="58">
        <v>8</v>
      </c>
      <c r="AA11" s="58">
        <v>8</v>
      </c>
      <c r="AB11" s="58">
        <v>8</v>
      </c>
      <c r="AC11" s="58">
        <v>8</v>
      </c>
      <c r="AD11" s="58">
        <v>8</v>
      </c>
      <c r="AE11" s="59">
        <v>24</v>
      </c>
      <c r="AF11" s="59">
        <v>0</v>
      </c>
      <c r="AG11" s="58">
        <v>8</v>
      </c>
      <c r="AH11" s="58">
        <v>8</v>
      </c>
      <c r="AI11" s="58">
        <v>8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51</v>
      </c>
    </row>
    <row r="12" spans="1:412" x14ac:dyDescent="0.25">
      <c r="A12" s="50"/>
      <c r="B12" s="51">
        <f>SUM(L12:AQ12)</f>
        <v>48</v>
      </c>
      <c r="C12" s="52"/>
      <c r="D12" s="53">
        <f>B12*E12</f>
        <v>9106.56</v>
      </c>
      <c r="E12" s="53">
        <f>'Rate Tables'!E11</f>
        <v>189.72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24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24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51</v>
      </c>
    </row>
    <row r="13" spans="1:412" x14ac:dyDescent="0.25">
      <c r="A13" s="67"/>
      <c r="B13" s="68">
        <f>SUM(L13:AQ13)</f>
        <v>50</v>
      </c>
      <c r="C13" s="69"/>
      <c r="D13" s="70">
        <f>B13*E13</f>
        <v>6500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2</v>
      </c>
      <c r="M13" s="75">
        <v>2</v>
      </c>
      <c r="N13" s="75">
        <v>2</v>
      </c>
      <c r="O13" s="75">
        <v>2</v>
      </c>
      <c r="P13" s="75">
        <v>2</v>
      </c>
      <c r="Q13" s="76">
        <v>0</v>
      </c>
      <c r="R13" s="76">
        <v>0</v>
      </c>
      <c r="S13" s="75">
        <v>2</v>
      </c>
      <c r="T13" s="75">
        <v>2</v>
      </c>
      <c r="U13" s="75">
        <v>2</v>
      </c>
      <c r="V13" s="75">
        <v>2</v>
      </c>
      <c r="W13" s="75">
        <v>2</v>
      </c>
      <c r="X13" s="76">
        <v>2</v>
      </c>
      <c r="Y13" s="76">
        <v>2</v>
      </c>
      <c r="Z13" s="75">
        <v>2</v>
      </c>
      <c r="AA13" s="75">
        <v>2</v>
      </c>
      <c r="AB13" s="75">
        <v>2</v>
      </c>
      <c r="AC13" s="75">
        <v>2</v>
      </c>
      <c r="AD13" s="75">
        <v>2</v>
      </c>
      <c r="AE13" s="76">
        <v>2</v>
      </c>
      <c r="AF13" s="76">
        <v>2</v>
      </c>
      <c r="AG13" s="75">
        <v>2</v>
      </c>
      <c r="AH13" s="75">
        <v>2</v>
      </c>
      <c r="AI13" s="75">
        <v>2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7">
        <v>1</v>
      </c>
      <c r="OV13" s="48" t="s">
        <v>51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464</v>
      </c>
      <c r="C15" s="30" t="s">
        <v>50</v>
      </c>
      <c r="D15" s="31">
        <f>K15</f>
        <v>58307.2</v>
      </c>
      <c r="E15" s="32"/>
      <c r="F15" s="32"/>
      <c r="G15" s="29">
        <f>B18</f>
        <v>288</v>
      </c>
      <c r="H15" s="29">
        <f>B19</f>
        <v>128</v>
      </c>
      <c r="I15" s="29">
        <f>B20</f>
        <v>48</v>
      </c>
      <c r="J15" s="29">
        <f>B21</f>
        <v>44</v>
      </c>
      <c r="K15" s="33">
        <f>D18+D19+D20</f>
        <v>58307.2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52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2</v>
      </c>
      <c r="M16" s="45">
        <v>2</v>
      </c>
      <c r="N16" s="45">
        <v>2</v>
      </c>
      <c r="O16" s="45">
        <v>2</v>
      </c>
      <c r="P16" s="45">
        <v>2</v>
      </c>
      <c r="Q16" s="46">
        <v>0</v>
      </c>
      <c r="R16" s="46">
        <v>0</v>
      </c>
      <c r="S16" s="45">
        <v>2</v>
      </c>
      <c r="T16" s="45">
        <v>2</v>
      </c>
      <c r="U16" s="45">
        <v>2</v>
      </c>
      <c r="V16" s="45">
        <v>2</v>
      </c>
      <c r="W16" s="45">
        <v>2</v>
      </c>
      <c r="X16" s="46">
        <v>2</v>
      </c>
      <c r="Y16" s="46">
        <v>2</v>
      </c>
      <c r="Z16" s="45">
        <v>2</v>
      </c>
      <c r="AA16" s="45">
        <v>2</v>
      </c>
      <c r="AB16" s="45">
        <v>2</v>
      </c>
      <c r="AC16" s="45">
        <v>2</v>
      </c>
      <c r="AD16" s="45">
        <v>2</v>
      </c>
      <c r="AE16" s="46">
        <v>2</v>
      </c>
      <c r="AF16" s="46">
        <v>2</v>
      </c>
      <c r="AG16" s="45">
        <v>2</v>
      </c>
      <c r="AH16" s="45">
        <v>2</v>
      </c>
      <c r="AI16" s="45">
        <v>2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52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8</v>
      </c>
      <c r="M17" s="45">
        <v>8</v>
      </c>
      <c r="N17" s="45">
        <v>8</v>
      </c>
      <c r="O17" s="45">
        <v>8</v>
      </c>
      <c r="P17" s="45">
        <v>8</v>
      </c>
      <c r="Q17" s="46">
        <v>0</v>
      </c>
      <c r="R17" s="46">
        <v>0</v>
      </c>
      <c r="S17" s="45">
        <v>8</v>
      </c>
      <c r="T17" s="45">
        <v>8</v>
      </c>
      <c r="U17" s="45">
        <v>8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52</v>
      </c>
    </row>
    <row r="18" spans="1:412" x14ac:dyDescent="0.25">
      <c r="A18" s="50"/>
      <c r="B18" s="51">
        <f>SUM(L18:AQ18)</f>
        <v>288</v>
      </c>
      <c r="C18" s="52"/>
      <c r="D18" s="53">
        <f>B18*E18</f>
        <v>30320.64</v>
      </c>
      <c r="E18" s="53">
        <f>'Rate Tables'!C11</f>
        <v>105.28</v>
      </c>
      <c r="F18" s="54" t="s">
        <v>34</v>
      </c>
      <c r="G18" s="55"/>
      <c r="H18" s="55"/>
      <c r="I18" s="55"/>
      <c r="J18" s="55"/>
      <c r="K18" s="56"/>
      <c r="L18" s="57">
        <v>16</v>
      </c>
      <c r="M18" s="58">
        <v>16</v>
      </c>
      <c r="N18" s="58">
        <v>16</v>
      </c>
      <c r="O18" s="58">
        <v>16</v>
      </c>
      <c r="P18" s="58">
        <v>16</v>
      </c>
      <c r="Q18" s="59">
        <v>0</v>
      </c>
      <c r="R18" s="59">
        <v>0</v>
      </c>
      <c r="S18" s="58">
        <v>16</v>
      </c>
      <c r="T18" s="58">
        <v>16</v>
      </c>
      <c r="U18" s="58">
        <v>16</v>
      </c>
      <c r="V18" s="58">
        <v>16</v>
      </c>
      <c r="W18" s="58">
        <v>16</v>
      </c>
      <c r="X18" s="59">
        <v>0</v>
      </c>
      <c r="Y18" s="59">
        <v>0</v>
      </c>
      <c r="Z18" s="58">
        <v>16</v>
      </c>
      <c r="AA18" s="58">
        <v>16</v>
      </c>
      <c r="AB18" s="58">
        <v>16</v>
      </c>
      <c r="AC18" s="58">
        <v>16</v>
      </c>
      <c r="AD18" s="58">
        <v>16</v>
      </c>
      <c r="AE18" s="59">
        <v>0</v>
      </c>
      <c r="AF18" s="59">
        <v>0</v>
      </c>
      <c r="AG18" s="58">
        <v>16</v>
      </c>
      <c r="AH18" s="58">
        <v>16</v>
      </c>
      <c r="AI18" s="58">
        <v>16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52</v>
      </c>
    </row>
    <row r="19" spans="1:412" x14ac:dyDescent="0.25">
      <c r="A19" s="61"/>
      <c r="B19" s="62">
        <f>SUM(L19:AQ19)</f>
        <v>128</v>
      </c>
      <c r="C19" s="63"/>
      <c r="D19" s="64">
        <f>B19*E19</f>
        <v>18880</v>
      </c>
      <c r="E19" s="64">
        <f>'Rate Tables'!D11</f>
        <v>147.5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8</v>
      </c>
      <c r="W19" s="58">
        <v>8</v>
      </c>
      <c r="X19" s="59">
        <v>24</v>
      </c>
      <c r="Y19" s="59">
        <v>0</v>
      </c>
      <c r="Z19" s="58">
        <v>8</v>
      </c>
      <c r="AA19" s="58">
        <v>8</v>
      </c>
      <c r="AB19" s="58">
        <v>8</v>
      </c>
      <c r="AC19" s="58">
        <v>8</v>
      </c>
      <c r="AD19" s="58">
        <v>8</v>
      </c>
      <c r="AE19" s="59">
        <v>24</v>
      </c>
      <c r="AF19" s="59">
        <v>0</v>
      </c>
      <c r="AG19" s="58">
        <v>8</v>
      </c>
      <c r="AH19" s="58">
        <v>8</v>
      </c>
      <c r="AI19" s="58">
        <v>8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52</v>
      </c>
    </row>
    <row r="20" spans="1:412" x14ac:dyDescent="0.25">
      <c r="A20" s="50"/>
      <c r="B20" s="51">
        <f>SUM(L20:AQ20)</f>
        <v>48</v>
      </c>
      <c r="C20" s="52"/>
      <c r="D20" s="53">
        <f>B20*E20</f>
        <v>9106.56</v>
      </c>
      <c r="E20" s="53">
        <f>'Rate Tables'!E11</f>
        <v>189.72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24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24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52</v>
      </c>
    </row>
    <row r="21" spans="1:412" x14ac:dyDescent="0.25">
      <c r="A21" s="67"/>
      <c r="B21" s="68">
        <f>SUM(L21:AQ21)</f>
        <v>44</v>
      </c>
      <c r="C21" s="69"/>
      <c r="D21" s="70">
        <f>B21*E21</f>
        <v>5720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2</v>
      </c>
      <c r="M21" s="75">
        <v>2</v>
      </c>
      <c r="N21" s="75">
        <v>2</v>
      </c>
      <c r="O21" s="75">
        <v>2</v>
      </c>
      <c r="P21" s="75">
        <v>2</v>
      </c>
      <c r="Q21" s="76">
        <v>0</v>
      </c>
      <c r="R21" s="76">
        <v>0</v>
      </c>
      <c r="S21" s="75">
        <v>2</v>
      </c>
      <c r="T21" s="75">
        <v>2</v>
      </c>
      <c r="U21" s="75">
        <v>2</v>
      </c>
      <c r="V21" s="75">
        <v>2</v>
      </c>
      <c r="W21" s="75">
        <v>2</v>
      </c>
      <c r="X21" s="76">
        <v>2</v>
      </c>
      <c r="Y21" s="76">
        <v>2</v>
      </c>
      <c r="Z21" s="75">
        <v>2</v>
      </c>
      <c r="AA21" s="75">
        <v>2</v>
      </c>
      <c r="AB21" s="75">
        <v>2</v>
      </c>
      <c r="AC21" s="75">
        <v>2</v>
      </c>
      <c r="AD21" s="75">
        <v>2</v>
      </c>
      <c r="AE21" s="76">
        <v>2</v>
      </c>
      <c r="AF21" s="76">
        <v>2</v>
      </c>
      <c r="AG21" s="75">
        <v>2</v>
      </c>
      <c r="AH21" s="75">
        <v>2</v>
      </c>
      <c r="AI21" s="75">
        <v>2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52</v>
      </c>
    </row>
    <row r="22" spans="1:11" x14ac:dyDescent="0.25">
      <c r="A22" s="15" t="s">
        <v>49</v>
      </c>
      <c r="B22" s="17">
        <f>SUM(B7,B15)</f>
        <v>976</v>
      </c>
      <c r="C22" s="81"/>
      <c r="D22" s="21">
        <f>SUM(D13,D21)</f>
        <v>12220</v>
      </c>
      <c r="E22" s="16"/>
      <c r="F22" s="16"/>
      <c r="G22" s="17">
        <f>SUM(G7,G15)</f>
        <v>624</v>
      </c>
      <c r="H22" s="17">
        <f>SUM(H7,H15)</f>
        <v>256</v>
      </c>
      <c r="I22" s="17">
        <f>SUM(I7,I15)</f>
        <v>96</v>
      </c>
      <c r="J22" s="17">
        <f>SUM(J7,J15)</f>
        <v>94</v>
      </c>
      <c r="K22" s="21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3920</v>
      </c>
      <c r="C7" s="30" t="s">
        <v>53</v>
      </c>
      <c r="D7" s="31">
        <f>K7</f>
        <v>468723.36</v>
      </c>
      <c r="E7" s="32"/>
      <c r="F7" s="32"/>
      <c r="G7" s="29">
        <f>B10</f>
        <v>2336</v>
      </c>
      <c r="H7" s="29">
        <f>B11</f>
        <v>1152</v>
      </c>
      <c r="I7" s="29">
        <f>B12</f>
        <v>432</v>
      </c>
      <c r="J7" s="29">
        <f>B13</f>
        <v>210</v>
      </c>
      <c r="K7" s="33">
        <f>D10+D11+D12</f>
        <v>468723.36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54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8</v>
      </c>
      <c r="M8" s="45">
        <v>8</v>
      </c>
      <c r="N8" s="45">
        <v>8</v>
      </c>
      <c r="O8" s="45">
        <v>8</v>
      </c>
      <c r="P8" s="45">
        <v>8</v>
      </c>
      <c r="Q8" s="46">
        <v>0</v>
      </c>
      <c r="R8" s="46">
        <v>0</v>
      </c>
      <c r="S8" s="45">
        <v>8</v>
      </c>
      <c r="T8" s="45">
        <v>8</v>
      </c>
      <c r="U8" s="45">
        <v>8</v>
      </c>
      <c r="V8" s="45">
        <v>18</v>
      </c>
      <c r="W8" s="45">
        <v>18</v>
      </c>
      <c r="X8" s="46">
        <v>18</v>
      </c>
      <c r="Y8" s="46">
        <v>18</v>
      </c>
      <c r="Z8" s="45">
        <v>18</v>
      </c>
      <c r="AA8" s="45">
        <v>18</v>
      </c>
      <c r="AB8" s="45">
        <v>18</v>
      </c>
      <c r="AC8" s="45">
        <v>18</v>
      </c>
      <c r="AD8" s="45">
        <v>18</v>
      </c>
      <c r="AE8" s="46">
        <v>18</v>
      </c>
      <c r="AF8" s="46">
        <v>18</v>
      </c>
      <c r="AG8" s="45">
        <v>18</v>
      </c>
      <c r="AH8" s="45">
        <v>18</v>
      </c>
      <c r="AI8" s="45">
        <v>18</v>
      </c>
      <c r="AJ8" s="45">
        <v>8</v>
      </c>
      <c r="AK8" s="45">
        <v>8</v>
      </c>
      <c r="AL8" s="46">
        <v>0</v>
      </c>
      <c r="AM8" s="46">
        <v>0</v>
      </c>
      <c r="AN8" s="45">
        <v>8</v>
      </c>
      <c r="AO8" s="45">
        <v>8</v>
      </c>
      <c r="AP8" s="45">
        <v>8</v>
      </c>
      <c r="AQ8" s="47">
        <v>8</v>
      </c>
      <c r="OV8" s="48" t="s">
        <v>54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54</v>
      </c>
    </row>
    <row r="10" spans="1:412" x14ac:dyDescent="0.25">
      <c r="A10" s="50"/>
      <c r="B10" s="51">
        <f>SUM(L10:AQ10)</f>
        <v>2336</v>
      </c>
      <c r="C10" s="52"/>
      <c r="D10" s="53">
        <f>B10*E10</f>
        <v>232034.88</v>
      </c>
      <c r="E10" s="53">
        <f>'Rate Tables'!C12</f>
        <v>99.33</v>
      </c>
      <c r="F10" s="54" t="s">
        <v>34</v>
      </c>
      <c r="G10" s="55"/>
      <c r="H10" s="55"/>
      <c r="I10" s="55"/>
      <c r="J10" s="55"/>
      <c r="K10" s="56"/>
      <c r="L10" s="57">
        <v>64</v>
      </c>
      <c r="M10" s="58">
        <v>64</v>
      </c>
      <c r="N10" s="58">
        <v>64</v>
      </c>
      <c r="O10" s="58">
        <v>64</v>
      </c>
      <c r="P10" s="58">
        <v>64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144</v>
      </c>
      <c r="W10" s="58">
        <v>144</v>
      </c>
      <c r="X10" s="59">
        <v>0</v>
      </c>
      <c r="Y10" s="59">
        <v>0</v>
      </c>
      <c r="Z10" s="58">
        <v>144</v>
      </c>
      <c r="AA10" s="58">
        <v>144</v>
      </c>
      <c r="AB10" s="58">
        <v>144</v>
      </c>
      <c r="AC10" s="58">
        <v>144</v>
      </c>
      <c r="AD10" s="58">
        <v>144</v>
      </c>
      <c r="AE10" s="59">
        <v>0</v>
      </c>
      <c r="AF10" s="59">
        <v>0</v>
      </c>
      <c r="AG10" s="58">
        <v>144</v>
      </c>
      <c r="AH10" s="58">
        <v>144</v>
      </c>
      <c r="AI10" s="58">
        <v>144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60">
        <v>64</v>
      </c>
      <c r="OV10" s="38" t="s">
        <v>54</v>
      </c>
    </row>
    <row r="11" spans="1:412" x14ac:dyDescent="0.25">
      <c r="A11" s="61"/>
      <c r="B11" s="62">
        <f>SUM(L11:AQ11)</f>
        <v>1152</v>
      </c>
      <c r="C11" s="63"/>
      <c r="D11" s="64">
        <f>B11*E11</f>
        <v>159770.88</v>
      </c>
      <c r="E11" s="64">
        <f>'Rate Tables'!D12</f>
        <v>138.69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72</v>
      </c>
      <c r="W11" s="58">
        <v>72</v>
      </c>
      <c r="X11" s="59">
        <v>216</v>
      </c>
      <c r="Y11" s="59">
        <v>0</v>
      </c>
      <c r="Z11" s="58">
        <v>72</v>
      </c>
      <c r="AA11" s="58">
        <v>72</v>
      </c>
      <c r="AB11" s="58">
        <v>72</v>
      </c>
      <c r="AC11" s="58">
        <v>72</v>
      </c>
      <c r="AD11" s="58">
        <v>72</v>
      </c>
      <c r="AE11" s="59">
        <v>216</v>
      </c>
      <c r="AF11" s="59">
        <v>0</v>
      </c>
      <c r="AG11" s="58">
        <v>72</v>
      </c>
      <c r="AH11" s="58">
        <v>72</v>
      </c>
      <c r="AI11" s="58">
        <v>72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54</v>
      </c>
    </row>
    <row r="12" spans="1:412" x14ac:dyDescent="0.25">
      <c r="A12" s="50"/>
      <c r="B12" s="51">
        <f>SUM(L12:AQ12)</f>
        <v>432</v>
      </c>
      <c r="C12" s="52"/>
      <c r="D12" s="53">
        <f>B12*E12</f>
        <v>76917.6</v>
      </c>
      <c r="E12" s="53">
        <f>'Rate Tables'!E12</f>
        <v>178.05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216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216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54</v>
      </c>
    </row>
    <row r="13" spans="1:412" x14ac:dyDescent="0.25">
      <c r="A13" s="67"/>
      <c r="B13" s="68">
        <f>SUM(L13:AQ13)</f>
        <v>210</v>
      </c>
      <c r="C13" s="69"/>
      <c r="D13" s="70">
        <f>B13*E13</f>
        <v>27300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5</v>
      </c>
      <c r="M13" s="75">
        <v>5</v>
      </c>
      <c r="N13" s="75">
        <v>5</v>
      </c>
      <c r="O13" s="75">
        <v>5</v>
      </c>
      <c r="P13" s="75">
        <v>5</v>
      </c>
      <c r="Q13" s="76">
        <v>0</v>
      </c>
      <c r="R13" s="76">
        <v>0</v>
      </c>
      <c r="S13" s="75">
        <v>5</v>
      </c>
      <c r="T13" s="75">
        <v>5</v>
      </c>
      <c r="U13" s="75">
        <v>5</v>
      </c>
      <c r="V13" s="75">
        <v>10</v>
      </c>
      <c r="W13" s="75">
        <v>10</v>
      </c>
      <c r="X13" s="76">
        <v>10</v>
      </c>
      <c r="Y13" s="76">
        <v>10</v>
      </c>
      <c r="Z13" s="75">
        <v>10</v>
      </c>
      <c r="AA13" s="75">
        <v>10</v>
      </c>
      <c r="AB13" s="75">
        <v>10</v>
      </c>
      <c r="AC13" s="75">
        <v>10</v>
      </c>
      <c r="AD13" s="75">
        <v>10</v>
      </c>
      <c r="AE13" s="76">
        <v>10</v>
      </c>
      <c r="AF13" s="76">
        <v>10</v>
      </c>
      <c r="AG13" s="75">
        <v>10</v>
      </c>
      <c r="AH13" s="75">
        <v>10</v>
      </c>
      <c r="AI13" s="75">
        <v>10</v>
      </c>
      <c r="AJ13" s="75">
        <v>5</v>
      </c>
      <c r="AK13" s="75">
        <v>5</v>
      </c>
      <c r="AL13" s="76">
        <v>0</v>
      </c>
      <c r="AM13" s="76">
        <v>0</v>
      </c>
      <c r="AN13" s="75">
        <v>5</v>
      </c>
      <c r="AO13" s="75">
        <v>5</v>
      </c>
      <c r="AP13" s="75">
        <v>5</v>
      </c>
      <c r="AQ13" s="77">
        <v>5</v>
      </c>
      <c r="OV13" s="48" t="s">
        <v>54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2688</v>
      </c>
      <c r="C15" s="30" t="s">
        <v>53</v>
      </c>
      <c r="D15" s="31">
        <f>K15</f>
        <v>337532.16</v>
      </c>
      <c r="E15" s="32"/>
      <c r="F15" s="32"/>
      <c r="G15" s="29">
        <f>B18</f>
        <v>1280</v>
      </c>
      <c r="H15" s="29">
        <f>B19</f>
        <v>1024</v>
      </c>
      <c r="I15" s="29">
        <f>B20</f>
        <v>384</v>
      </c>
      <c r="J15" s="29">
        <f>B21</f>
        <v>14</v>
      </c>
      <c r="K15" s="33">
        <f>D18+D19+D20</f>
        <v>337532.16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55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16</v>
      </c>
      <c r="W16" s="45">
        <v>16</v>
      </c>
      <c r="X16" s="46">
        <v>16</v>
      </c>
      <c r="Y16" s="46">
        <v>16</v>
      </c>
      <c r="Z16" s="45">
        <v>16</v>
      </c>
      <c r="AA16" s="45">
        <v>16</v>
      </c>
      <c r="AB16" s="45">
        <v>16</v>
      </c>
      <c r="AC16" s="45">
        <v>16</v>
      </c>
      <c r="AD16" s="45">
        <v>16</v>
      </c>
      <c r="AE16" s="46">
        <v>16</v>
      </c>
      <c r="AF16" s="46">
        <v>16</v>
      </c>
      <c r="AG16" s="45">
        <v>16</v>
      </c>
      <c r="AH16" s="45">
        <v>16</v>
      </c>
      <c r="AI16" s="45">
        <v>16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55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55</v>
      </c>
    </row>
    <row r="18" spans="1:412" x14ac:dyDescent="0.25">
      <c r="A18" s="50"/>
      <c r="B18" s="51">
        <f>SUM(L18:AQ18)</f>
        <v>1280</v>
      </c>
      <c r="C18" s="52"/>
      <c r="D18" s="53">
        <f>B18*E18</f>
        <v>127142.4</v>
      </c>
      <c r="E18" s="53">
        <f>'Rate Tables'!C12</f>
        <v>99.33</v>
      </c>
      <c r="F18" s="54" t="s">
        <v>34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128</v>
      </c>
      <c r="W18" s="58">
        <v>128</v>
      </c>
      <c r="X18" s="59">
        <v>0</v>
      </c>
      <c r="Y18" s="59">
        <v>0</v>
      </c>
      <c r="Z18" s="58">
        <v>128</v>
      </c>
      <c r="AA18" s="58">
        <v>128</v>
      </c>
      <c r="AB18" s="58">
        <v>128</v>
      </c>
      <c r="AC18" s="58">
        <v>128</v>
      </c>
      <c r="AD18" s="58">
        <v>128</v>
      </c>
      <c r="AE18" s="59">
        <v>0</v>
      </c>
      <c r="AF18" s="59">
        <v>0</v>
      </c>
      <c r="AG18" s="58">
        <v>128</v>
      </c>
      <c r="AH18" s="58">
        <v>128</v>
      </c>
      <c r="AI18" s="58">
        <v>128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55</v>
      </c>
    </row>
    <row r="19" spans="1:412" x14ac:dyDescent="0.25">
      <c r="A19" s="61"/>
      <c r="B19" s="62">
        <f>SUM(L19:AQ19)</f>
        <v>1024</v>
      </c>
      <c r="C19" s="63"/>
      <c r="D19" s="64">
        <f>B19*E19</f>
        <v>142018.56</v>
      </c>
      <c r="E19" s="64">
        <f>'Rate Tables'!D12</f>
        <v>138.69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64</v>
      </c>
      <c r="W19" s="58">
        <v>64</v>
      </c>
      <c r="X19" s="59">
        <v>192</v>
      </c>
      <c r="Y19" s="59">
        <v>0</v>
      </c>
      <c r="Z19" s="58">
        <v>64</v>
      </c>
      <c r="AA19" s="58">
        <v>64</v>
      </c>
      <c r="AB19" s="58">
        <v>64</v>
      </c>
      <c r="AC19" s="58">
        <v>64</v>
      </c>
      <c r="AD19" s="58">
        <v>64</v>
      </c>
      <c r="AE19" s="59">
        <v>192</v>
      </c>
      <c r="AF19" s="59">
        <v>0</v>
      </c>
      <c r="AG19" s="58">
        <v>64</v>
      </c>
      <c r="AH19" s="58">
        <v>64</v>
      </c>
      <c r="AI19" s="58">
        <v>64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55</v>
      </c>
    </row>
    <row r="20" spans="1:412" x14ac:dyDescent="0.25">
      <c r="A20" s="50"/>
      <c r="B20" s="51">
        <f>SUM(L20:AQ20)</f>
        <v>384</v>
      </c>
      <c r="C20" s="52"/>
      <c r="D20" s="53">
        <f>B20*E20</f>
        <v>68371.20000000001</v>
      </c>
      <c r="E20" s="53">
        <f>'Rate Tables'!E12</f>
        <v>178.05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192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192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55</v>
      </c>
    </row>
    <row r="21" spans="1:412" x14ac:dyDescent="0.25">
      <c r="A21" s="67"/>
      <c r="B21" s="68">
        <f>SUM(L21:AQ21)</f>
        <v>14</v>
      </c>
      <c r="C21" s="69"/>
      <c r="D21" s="70">
        <f>B21*E21</f>
        <v>1820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55</v>
      </c>
    </row>
    <row r="22" spans="1:11" x14ac:dyDescent="0.25">
      <c r="A22" s="15" t="s">
        <v>49</v>
      </c>
      <c r="B22" s="17">
        <f>SUM(B7,B15)</f>
        <v>6608</v>
      </c>
      <c r="C22" s="81"/>
      <c r="D22" s="21">
        <f>SUM(D13,D21)</f>
        <v>29120</v>
      </c>
      <c r="E22" s="16"/>
      <c r="F22" s="16"/>
      <c r="G22" s="17">
        <f>SUM(G7,G15)</f>
        <v>3616</v>
      </c>
      <c r="H22" s="17">
        <f>SUM(H7,H15)</f>
        <v>2176</v>
      </c>
      <c r="I22" s="17">
        <f>SUM(I7,I15)</f>
        <v>816</v>
      </c>
      <c r="J22" s="17">
        <f>SUM(J7,J15)</f>
        <v>224</v>
      </c>
      <c r="K22" s="21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56</v>
      </c>
      <c r="D7" s="31">
        <f>K7</f>
        <v>35319.439999999995</v>
      </c>
      <c r="E7" s="32"/>
      <c r="F7" s="32"/>
      <c r="G7" s="29">
        <f>B10</f>
        <v>192</v>
      </c>
      <c r="H7" s="29">
        <f>B11</f>
        <v>64</v>
      </c>
      <c r="I7" s="29">
        <f>B12</f>
        <v>24</v>
      </c>
      <c r="J7" s="29">
        <f>B13</f>
        <v>28</v>
      </c>
      <c r="K7" s="33">
        <f>D10+D11+D12</f>
        <v>35319.439999999995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57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1</v>
      </c>
      <c r="Y8" s="46">
        <v>1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1</v>
      </c>
      <c r="AF8" s="46">
        <v>1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57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57</v>
      </c>
    </row>
    <row r="10" spans="1:412" x14ac:dyDescent="0.25">
      <c r="A10" s="50"/>
      <c r="B10" s="51">
        <f>SUM(L10:AQ10)</f>
        <v>192</v>
      </c>
      <c r="C10" s="52"/>
      <c r="D10" s="53">
        <f>B10*E10</f>
        <v>20808.96</v>
      </c>
      <c r="E10" s="53">
        <f>'Rate Tables'!C13</f>
        <v>108.38</v>
      </c>
      <c r="F10" s="54" t="s">
        <v>34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57</v>
      </c>
    </row>
    <row r="11" spans="1:412" x14ac:dyDescent="0.25">
      <c r="A11" s="61"/>
      <c r="B11" s="62">
        <f>SUM(L11:AQ11)</f>
        <v>64</v>
      </c>
      <c r="C11" s="63"/>
      <c r="D11" s="64">
        <f>B11*E11</f>
        <v>9777.92</v>
      </c>
      <c r="E11" s="64">
        <f>'Rate Tables'!D13</f>
        <v>152.78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4</v>
      </c>
      <c r="W11" s="58">
        <v>4</v>
      </c>
      <c r="X11" s="59">
        <v>12</v>
      </c>
      <c r="Y11" s="59">
        <v>0</v>
      </c>
      <c r="Z11" s="58">
        <v>4</v>
      </c>
      <c r="AA11" s="58">
        <v>4</v>
      </c>
      <c r="AB11" s="58">
        <v>4</v>
      </c>
      <c r="AC11" s="58">
        <v>4</v>
      </c>
      <c r="AD11" s="58">
        <v>4</v>
      </c>
      <c r="AE11" s="59">
        <v>12</v>
      </c>
      <c r="AF11" s="59">
        <v>0</v>
      </c>
      <c r="AG11" s="58">
        <v>4</v>
      </c>
      <c r="AH11" s="58">
        <v>4</v>
      </c>
      <c r="AI11" s="58">
        <v>4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57</v>
      </c>
    </row>
    <row r="12" spans="1:412" x14ac:dyDescent="0.25">
      <c r="A12" s="50"/>
      <c r="B12" s="51">
        <f>SUM(L12:AQ12)</f>
        <v>24</v>
      </c>
      <c r="C12" s="52"/>
      <c r="D12" s="53">
        <f>B12*E12</f>
        <v>4732.5599999999995</v>
      </c>
      <c r="E12" s="53">
        <f>'Rate Tables'!E13</f>
        <v>197.19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57</v>
      </c>
    </row>
    <row r="13" spans="1:412" x14ac:dyDescent="0.25">
      <c r="A13" s="67"/>
      <c r="B13" s="68">
        <f>SUM(L13:AQ13)</f>
        <v>28</v>
      </c>
      <c r="C13" s="69"/>
      <c r="D13" s="70">
        <f>B13*E13</f>
        <v>3640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1</v>
      </c>
      <c r="Y13" s="76">
        <v>1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1</v>
      </c>
      <c r="AF13" s="76">
        <v>1</v>
      </c>
      <c r="AG13" s="75">
        <v>1</v>
      </c>
      <c r="AH13" s="75">
        <v>1</v>
      </c>
      <c r="AI13" s="75">
        <v>1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7">
        <v>1</v>
      </c>
      <c r="OV13" s="48" t="s">
        <v>57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168</v>
      </c>
      <c r="C15" s="30" t="s">
        <v>56</v>
      </c>
      <c r="D15" s="31">
        <f>K15</f>
        <v>23180.879999999997</v>
      </c>
      <c r="E15" s="32"/>
      <c r="F15" s="32"/>
      <c r="G15" s="29">
        <f>B18</f>
        <v>80</v>
      </c>
      <c r="H15" s="29">
        <f>B19</f>
        <v>64</v>
      </c>
      <c r="I15" s="29">
        <f>B20</f>
        <v>24</v>
      </c>
      <c r="J15" s="29">
        <f>B21</f>
        <v>14</v>
      </c>
      <c r="K15" s="33">
        <f>D18+D19+D20</f>
        <v>23180.879999999997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58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1</v>
      </c>
      <c r="W16" s="45">
        <v>1</v>
      </c>
      <c r="X16" s="46">
        <v>1</v>
      </c>
      <c r="Y16" s="46">
        <v>1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1</v>
      </c>
      <c r="AF16" s="46">
        <v>1</v>
      </c>
      <c r="AG16" s="45">
        <v>1</v>
      </c>
      <c r="AH16" s="45">
        <v>1</v>
      </c>
      <c r="AI16" s="45">
        <v>1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58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58</v>
      </c>
    </row>
    <row r="18" spans="1:412" x14ac:dyDescent="0.25">
      <c r="A18" s="50"/>
      <c r="B18" s="51">
        <f>SUM(L18:AQ18)</f>
        <v>80</v>
      </c>
      <c r="C18" s="52"/>
      <c r="D18" s="53">
        <f>B18*E18</f>
        <v>8670.4</v>
      </c>
      <c r="E18" s="53">
        <f>'Rate Tables'!C13</f>
        <v>108.38</v>
      </c>
      <c r="F18" s="54" t="s">
        <v>34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58</v>
      </c>
    </row>
    <row r="19" spans="1:412" x14ac:dyDescent="0.25">
      <c r="A19" s="61"/>
      <c r="B19" s="62">
        <f>SUM(L19:AQ19)</f>
        <v>64</v>
      </c>
      <c r="C19" s="63"/>
      <c r="D19" s="64">
        <f>B19*E19</f>
        <v>9777.92</v>
      </c>
      <c r="E19" s="64">
        <f>'Rate Tables'!D13</f>
        <v>152.78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4</v>
      </c>
      <c r="W19" s="58">
        <v>4</v>
      </c>
      <c r="X19" s="59">
        <v>12</v>
      </c>
      <c r="Y19" s="59">
        <v>0</v>
      </c>
      <c r="Z19" s="58">
        <v>4</v>
      </c>
      <c r="AA19" s="58">
        <v>4</v>
      </c>
      <c r="AB19" s="58">
        <v>4</v>
      </c>
      <c r="AC19" s="58">
        <v>4</v>
      </c>
      <c r="AD19" s="58">
        <v>4</v>
      </c>
      <c r="AE19" s="59">
        <v>12</v>
      </c>
      <c r="AF19" s="59">
        <v>0</v>
      </c>
      <c r="AG19" s="58">
        <v>4</v>
      </c>
      <c r="AH19" s="58">
        <v>4</v>
      </c>
      <c r="AI19" s="58">
        <v>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58</v>
      </c>
    </row>
    <row r="20" spans="1:412" x14ac:dyDescent="0.25">
      <c r="A20" s="50"/>
      <c r="B20" s="51">
        <f>SUM(L20:AQ20)</f>
        <v>24</v>
      </c>
      <c r="C20" s="52"/>
      <c r="D20" s="53">
        <f>B20*E20</f>
        <v>4732.5599999999995</v>
      </c>
      <c r="E20" s="53">
        <f>'Rate Tables'!E13</f>
        <v>197.19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58</v>
      </c>
    </row>
    <row r="21" spans="1:412" x14ac:dyDescent="0.25">
      <c r="A21" s="67"/>
      <c r="B21" s="68">
        <f>SUM(L21:AQ21)</f>
        <v>14</v>
      </c>
      <c r="C21" s="69"/>
      <c r="D21" s="70">
        <f>B21*E21</f>
        <v>1820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58</v>
      </c>
    </row>
    <row r="22" spans="1:11" x14ac:dyDescent="0.25">
      <c r="A22" s="15" t="s">
        <v>49</v>
      </c>
      <c r="B22" s="17">
        <f>SUM(B7,B15)</f>
        <v>448</v>
      </c>
      <c r="C22" s="81"/>
      <c r="D22" s="21">
        <f>SUM(D13,D21)</f>
        <v>5460</v>
      </c>
      <c r="E22" s="16"/>
      <c r="F22" s="16"/>
      <c r="G22" s="17">
        <f>SUM(G7,G15)</f>
        <v>272</v>
      </c>
      <c r="H22" s="17">
        <f>SUM(H7,H15)</f>
        <v>128</v>
      </c>
      <c r="I22" s="17">
        <f>SUM(I7,I15)</f>
        <v>48</v>
      </c>
      <c r="J22" s="17">
        <f>SUM(J7,J15)</f>
        <v>42</v>
      </c>
      <c r="K22" s="21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2"/>
      <c r="B4" s="82"/>
      <c r="C4" s="82"/>
      <c r="D4" s="82"/>
      <c r="E4" s="82"/>
      <c r="F4" s="82"/>
      <c r="G4" s="82"/>
    </row>
    <row r="5" ht="6" customHeight="1" spans="1:7" x14ac:dyDescent="0.25">
      <c r="A5" s="82"/>
      <c r="B5" s="82"/>
      <c r="C5" s="82"/>
      <c r="D5" s="82"/>
      <c r="E5" s="82"/>
      <c r="F5" s="82"/>
      <c r="G5" s="82"/>
    </row>
    <row r="6" ht="20" customHeight="1" spans="1:7" x14ac:dyDescent="0.25">
      <c r="A6" s="4" t="s">
        <v>59</v>
      </c>
      <c r="B6" s="4" t="s">
        <v>60</v>
      </c>
      <c r="C6" s="4" t="s">
        <v>61</v>
      </c>
      <c r="D6" s="4" t="s">
        <v>62</v>
      </c>
      <c r="E6" s="4" t="s">
        <v>63</v>
      </c>
      <c r="F6" s="4" t="s">
        <v>64</v>
      </c>
      <c r="G6" s="4" t="s">
        <v>65</v>
      </c>
    </row>
    <row r="7" spans="1:7" x14ac:dyDescent="0.25">
      <c r="A7" s="83" t="s">
        <v>66</v>
      </c>
      <c r="B7" s="84" t="s">
        <v>67</v>
      </c>
      <c r="C7" s="85">
        <v>5</v>
      </c>
      <c r="D7" s="85">
        <v>3</v>
      </c>
      <c r="E7" s="64">
        <v>4464</v>
      </c>
      <c r="F7" s="64">
        <v>0</v>
      </c>
      <c r="G7" s="64">
        <f>C7*D7*E7+F7</f>
        <v>66960</v>
      </c>
    </row>
    <row r="8" spans="1:7" x14ac:dyDescent="0.25">
      <c r="A8" s="86" t="s">
        <v>68</v>
      </c>
      <c r="B8" s="87" t="s">
        <v>67</v>
      </c>
      <c r="C8" s="88">
        <v>3</v>
      </c>
      <c r="D8" s="88">
        <v>2</v>
      </c>
      <c r="E8" s="53">
        <v>612</v>
      </c>
      <c r="F8" s="53">
        <v>0</v>
      </c>
      <c r="G8" s="53">
        <f>C8*D8*E8+F8</f>
        <v>3672</v>
      </c>
    </row>
    <row r="9" spans="1:7" x14ac:dyDescent="0.25">
      <c r="A9" s="83" t="s">
        <v>69</v>
      </c>
      <c r="B9" s="84" t="s">
        <v>67</v>
      </c>
      <c r="C9" s="85">
        <v>3</v>
      </c>
      <c r="D9" s="85">
        <v>2</v>
      </c>
      <c r="E9" s="64">
        <v>936</v>
      </c>
      <c r="F9" s="64">
        <v>0</v>
      </c>
      <c r="G9" s="64">
        <f>C9*D9*E9+F9</f>
        <v>5616</v>
      </c>
    </row>
    <row r="10" spans="1:7" x14ac:dyDescent="0.25">
      <c r="A10" s="86" t="s">
        <v>70</v>
      </c>
      <c r="B10" s="87" t="s">
        <v>71</v>
      </c>
      <c r="C10" s="88">
        <v>1</v>
      </c>
      <c r="D10" s="88">
        <v>32</v>
      </c>
      <c r="E10" s="53">
        <v>1160</v>
      </c>
      <c r="F10" s="53">
        <v>0</v>
      </c>
      <c r="G10" s="53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4" t="s">
        <v>72</v>
      </c>
      <c r="B6" s="4" t="s">
        <v>73</v>
      </c>
      <c r="C6" s="4" t="s">
        <v>74</v>
      </c>
      <c r="D6" s="4" t="s">
        <v>75</v>
      </c>
      <c r="E6" s="4" t="s">
        <v>65</v>
      </c>
    </row>
    <row r="7" spans="1:5" x14ac:dyDescent="0.25">
      <c r="A7" s="83" t="s">
        <v>76</v>
      </c>
      <c r="B7" s="85">
        <v>6</v>
      </c>
      <c r="C7" s="85">
        <v>1500</v>
      </c>
      <c r="D7" s="64">
        <v>0.76</v>
      </c>
      <c r="E7" s="64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4" t="s">
        <v>59</v>
      </c>
      <c r="B6" s="4" t="s">
        <v>77</v>
      </c>
      <c r="C6" s="4" t="s">
        <v>61</v>
      </c>
      <c r="D6" s="4" t="s">
        <v>78</v>
      </c>
      <c r="E6" s="4" t="s">
        <v>65</v>
      </c>
    </row>
    <row r="7" spans="1:5" x14ac:dyDescent="0.25">
      <c r="A7" s="83" t="s">
        <v>79</v>
      </c>
      <c r="B7" s="84" t="s">
        <v>80</v>
      </c>
      <c r="C7" s="85">
        <v>3.5</v>
      </c>
      <c r="D7" s="64">
        <v>1000</v>
      </c>
      <c r="E7" s="64">
        <f>C7*D7</f>
        <v>3500</v>
      </c>
    </row>
    <row r="8" spans="1:5" x14ac:dyDescent="0.25">
      <c r="A8" s="86" t="s">
        <v>81</v>
      </c>
      <c r="B8" s="87" t="s">
        <v>82</v>
      </c>
      <c r="C8" s="88">
        <v>1</v>
      </c>
      <c r="D8" s="53">
        <v>1200</v>
      </c>
      <c r="E8" s="53">
        <f>C8*D8</f>
        <v>1200</v>
      </c>
    </row>
    <row r="9" spans="1:5" x14ac:dyDescent="0.25">
      <c r="A9" s="83" t="s">
        <v>83</v>
      </c>
      <c r="B9" s="84" t="s">
        <v>84</v>
      </c>
      <c r="C9" s="85">
        <v>1</v>
      </c>
      <c r="D9" s="64">
        <v>6000</v>
      </c>
      <c r="E9" s="64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2"/>
      <c r="B4" s="82"/>
      <c r="C4" s="82"/>
      <c r="D4" s="82"/>
      <c r="E4" s="82"/>
      <c r="F4" s="82"/>
    </row>
    <row r="5" ht="6" customHeight="1" spans="1:6" x14ac:dyDescent="0.25">
      <c r="A5" s="82"/>
      <c r="B5" s="82"/>
      <c r="C5" s="82"/>
      <c r="D5" s="82"/>
      <c r="E5" s="82"/>
      <c r="F5" s="82"/>
    </row>
    <row r="6" ht="20" customHeight="1" spans="1:6" x14ac:dyDescent="0.25">
      <c r="A6" s="4" t="s">
        <v>85</v>
      </c>
      <c r="B6" s="4" t="s">
        <v>86</v>
      </c>
      <c r="C6" s="4" t="s">
        <v>87</v>
      </c>
      <c r="D6" s="4" t="s">
        <v>88</v>
      </c>
      <c r="E6" s="4" t="s">
        <v>89</v>
      </c>
      <c r="F6" s="4" t="s">
        <v>90</v>
      </c>
    </row>
    <row r="7" spans="1:6" x14ac:dyDescent="0.25">
      <c r="A7" s="83" t="s">
        <v>29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spans="1:6" x14ac:dyDescent="0.25">
      <c r="A8" s="86" t="s">
        <v>40</v>
      </c>
      <c r="B8" s="53">
        <v>64</v>
      </c>
      <c r="C8" s="53">
        <v>105.76</v>
      </c>
      <c r="D8" s="53">
        <v>143.77</v>
      </c>
      <c r="E8" s="53">
        <v>181.79</v>
      </c>
      <c r="F8" s="53">
        <v>140</v>
      </c>
    </row>
    <row r="9" spans="1:6" x14ac:dyDescent="0.25">
      <c r="A9" s="83" t="s">
        <v>43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spans="1:6" x14ac:dyDescent="0.25">
      <c r="A10" s="86" t="s">
        <v>46</v>
      </c>
      <c r="B10" s="53">
        <v>58.84</v>
      </c>
      <c r="C10" s="53">
        <v>111.22</v>
      </c>
      <c r="D10" s="53">
        <v>156.31</v>
      </c>
      <c r="E10" s="53">
        <v>201.4</v>
      </c>
      <c r="F10" s="53">
        <v>140</v>
      </c>
    </row>
    <row r="11" spans="1:6" x14ac:dyDescent="0.25">
      <c r="A11" s="83" t="s">
        <v>50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spans="1:6" x14ac:dyDescent="0.25">
      <c r="A12" s="86" t="s">
        <v>53</v>
      </c>
      <c r="B12" s="53">
        <v>49.03</v>
      </c>
      <c r="C12" s="53">
        <v>99.33</v>
      </c>
      <c r="D12" s="53">
        <v>138.69</v>
      </c>
      <c r="E12" s="53">
        <v>178.05</v>
      </c>
      <c r="F12" s="53">
        <v>130</v>
      </c>
    </row>
    <row r="13" spans="1:6" x14ac:dyDescent="0.25">
      <c r="A13" s="83" t="s">
        <v>91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</sheetData>
  <sheetProtection sheet="1"/>
  <mergeCells count="3">
    <mergeCell ref="A1:F1"/>
    <mergeCell ref="A2:F2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2026-09-04T20:23:11Z</dcterms:created>
  <dcterms:modified xsi:type="dcterms:W3CDTF">2026-09-04T20:23:11Z</dcterms:modified>
</cp:coreProperties>
</file>